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ths" sheetId="2" state="visible" r:id="rId2"/>
    <sheet xmlns:r="http://schemas.openxmlformats.org/officeDocument/2006/relationships" name="Company" sheetId="3" state="visible" r:id="rId3"/>
    <sheet xmlns:r="http://schemas.openxmlformats.org/officeDocument/2006/relationships" name="Quarterly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Dongrui" sheetId="6" state="visible" r:id="rId6"/>
    <sheet xmlns:r="http://schemas.openxmlformats.org/officeDocument/2006/relationships" name="Decomposition" sheetId="7" state="visible" r:id="rId7"/>
    <sheet xmlns:r="http://schemas.openxmlformats.org/officeDocument/2006/relationships" name="Screening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Hist_PE" sheetId="10" state="visible" r:id="rId10"/>
    <sheet xmlns:r="http://schemas.openxmlformats.org/officeDocument/2006/relationships" name="Q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2027年猪周期情景模型（前提：2027年全国生猪均价18元/公斤，为给定前提而非预测）</t>
        </is>
      </c>
    </row>
    <row r="2">
      <c r="A2" t="inlineStr">
        <is>
          <t>快照：股价2026-10-08收盘；资产负债表2026-06-30；经营数据截至2026年8-9月简报。</t>
        </is>
      </c>
    </row>
    <row r="3">
      <c r="A3" t="inlineStr">
        <is>
          <t>切换：Paths!B12 价格路径（1-5），Paths!B13 情景（1熊/2基准/3牛）。其余表全部由公式驱动。</t>
        </is>
      </c>
    </row>
    <row r="4">
      <c r="A4" t="inlineStr">
        <is>
          <t>颜色：黄色=研究假设（可改）；绿色=公司披露事实或管理层目标（来源见Company表basis列与Screening表）。</t>
        </is>
      </c>
    </row>
    <row r="5">
      <c r="A5" t="inlineStr">
        <is>
          <t>利润链条：每公斤毛利=全国价×(1+区域溢价)+渠道溢价−完全成本；养殖利润=育肥头数×出栏重×每公斤毛利；</t>
        </is>
      </c>
    </row>
    <row r="6">
      <c r="A6" t="inlineStr">
        <is>
          <t xml:space="preserve">  归母利润≈(养殖利润+仔猪利润)×归属比例 + 其他业务（未建模=0：温氏黄羽鸡、新希望/大北农/唐人神饲料、华统屠宰等）。</t>
        </is>
      </c>
    </row>
    <row r="7">
      <c r="A7" t="inlineStr">
        <is>
          <t xml:space="preserve">  养殖价差≠归母净利润（少数股东、其他业务、减值、所得税豁免外业务）；情景市盈率≠目标价；归母利润≠股价涨幅。</t>
        </is>
      </c>
    </row>
    <row r="8">
      <c r="A8" t="inlineStr">
        <is>
          <t>成本未披露的公司（华统、新五丰、正邦）不计算情景利润，只给“当前市值=8倍情景利润”所需的成本门槛。</t>
        </is>
      </c>
    </row>
    <row r="9">
      <c r="A9" t="inlineStr">
        <is>
          <t>成本季度路径：从最新披露成本线性滑向2027年假设值，全年均值=假设值（权重见Paths!B31:E31）。</t>
        </is>
      </c>
    </row>
    <row r="10">
      <c r="A10" t="inlineStr">
        <is>
          <t>东瑞售价=全国价×(1+内销溢价d)+出口重量占比s×出口价差e（Paths!B19:D21）。</t>
        </is>
      </c>
    </row>
    <row r="11">
      <c r="A11" t="inlineStr">
        <is>
          <t>历史校准：Hist_PE表为三轮周期市值峰值/峰值年度归母利润，供判断市场在周期高点愿付的倍数。</t>
        </is>
      </c>
    </row>
    <row r="12">
      <c r="A12" t="inlineStr">
        <is>
          <t>数据与脚本：scripts/model_2027.py（Python版，结果与本表一致，见QA表）。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全国生猪均价季度路径（元/公斤）</t>
        </is>
      </c>
    </row>
    <row r="3">
      <c r="A3" s="2" t="inlineStr">
        <is>
          <t>路径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年均</t>
        </is>
      </c>
    </row>
    <row r="4">
      <c r="A4" t="inlineStr">
        <is>
          <t>P1 全年持平</t>
        </is>
      </c>
      <c r="B4" s="3" t="n">
        <v>18</v>
      </c>
      <c r="C4" s="3" t="n">
        <v>18</v>
      </c>
      <c r="D4" s="3" t="n">
        <v>18</v>
      </c>
      <c r="E4" s="3" t="n">
        <v>18</v>
      </c>
      <c r="F4">
        <f>AVERAGE(B4:E4)</f>
        <v/>
      </c>
    </row>
    <row r="5">
      <c r="A5" t="inlineStr">
        <is>
          <t>P2 后高</t>
        </is>
      </c>
      <c r="B5" s="3" t="n">
        <v>14.5</v>
      </c>
      <c r="C5" s="3" t="n">
        <v>17</v>
      </c>
      <c r="D5" s="3" t="n">
        <v>20</v>
      </c>
      <c r="E5" s="3" t="n">
        <v>20.5</v>
      </c>
      <c r="F5">
        <f>AVERAGE(B5:E5)</f>
        <v/>
      </c>
    </row>
    <row r="6">
      <c r="A6" t="inlineStr">
        <is>
          <t>P3 前高后落</t>
        </is>
      </c>
      <c r="B6" s="3" t="n">
        <v>19</v>
      </c>
      <c r="C6" s="3" t="n">
        <v>20</v>
      </c>
      <c r="D6" s="3" t="n">
        <v>18</v>
      </c>
      <c r="E6" s="3" t="n">
        <v>15</v>
      </c>
      <c r="F6">
        <f>AVERAGE(B6:E6)</f>
        <v/>
      </c>
    </row>
    <row r="7">
      <c r="A7" t="inlineStr">
        <is>
          <t>P4 期货曲线形状放大</t>
        </is>
      </c>
      <c r="B7" s="3" t="n">
        <v>15.8953</v>
      </c>
      <c r="C7" s="3" t="n">
        <v>17.4175</v>
      </c>
      <c r="D7" s="3" t="n">
        <v>19.1521</v>
      </c>
      <c r="E7" s="3" t="n">
        <v>19.5351</v>
      </c>
      <c r="F7">
        <f>AVERAGE(B7:E7)</f>
        <v/>
      </c>
    </row>
    <row r="8">
      <c r="A8" t="inlineStr">
        <is>
          <t>P5 V型冲高</t>
        </is>
      </c>
      <c r="B8" s="3" t="n">
        <v>13</v>
      </c>
      <c r="C8" s="3" t="n">
        <v>18</v>
      </c>
      <c r="D8" s="3" t="n">
        <v>23</v>
      </c>
      <c r="E8" s="3" t="n">
        <v>18</v>
      </c>
      <c r="F8">
        <f>AVERAGE(B8:E8)</f>
        <v/>
      </c>
    </row>
    <row r="9">
      <c r="A9" t="inlineStr">
        <is>
          <t>参考：期货曲线原值（2026-10-08结算；Q4=Q3×1.02假设）</t>
        </is>
      </c>
      <c r="B9" s="4" t="n">
        <v>11.0425</v>
      </c>
      <c r="C9" s="4" t="n">
        <v>12.1</v>
      </c>
      <c r="D9" s="4" t="n">
        <v>13.305</v>
      </c>
      <c r="E9" s="4" t="n">
        <v>13.5711</v>
      </c>
      <c r="F9">
        <f>AVERAGE(B9:E9)</f>
        <v/>
      </c>
    </row>
    <row r="12">
      <c r="A12" t="inlineStr">
        <is>
          <t>选定路径（1-5）</t>
        </is>
      </c>
      <c r="B12" s="3" t="n">
        <v>1</v>
      </c>
      <c r="C12">
        <f>INDEX(A4:A8,B12)</f>
        <v/>
      </c>
    </row>
    <row r="13">
      <c r="A13" t="inlineStr">
        <is>
          <t>选定情景（1熊/2基准/3牛）</t>
        </is>
      </c>
      <c r="B13" s="3" t="n">
        <v>2</v>
      </c>
    </row>
    <row r="15">
      <c r="A15" s="2" t="inlineStr">
        <is>
          <t>参数</t>
        </is>
      </c>
      <c r="B15" s="2" t="inlineStr">
        <is>
          <t>熊</t>
        </is>
      </c>
      <c r="C15" s="2" t="inlineStr">
        <is>
          <t>基准</t>
        </is>
      </c>
      <c r="D15" s="2" t="inlineStr">
        <is>
          <t>牛</t>
        </is>
      </c>
      <c r="E15" s="2" t="inlineStr">
        <is>
          <t>选定</t>
        </is>
      </c>
    </row>
    <row r="16">
      <c r="A16" t="inlineStr">
        <is>
          <t>仔猪毛利（元/头）</t>
        </is>
      </c>
      <c r="B16" s="3" t="n">
        <v>80</v>
      </c>
      <c r="C16" s="3" t="n">
        <v>150</v>
      </c>
      <c r="D16" s="3" t="n">
        <v>250</v>
      </c>
      <c r="E16">
        <f>INDEX(B16:D16,$B$13)</f>
        <v/>
      </c>
    </row>
    <row r="19">
      <c r="A19" t="inlineStr">
        <is>
          <t>东瑞内销溢价d（相对全国均价）</t>
        </is>
      </c>
      <c r="B19" s="3" t="n">
        <v>0.01</v>
      </c>
      <c r="C19" s="3" t="n">
        <v>0.03</v>
      </c>
      <c r="D19" s="3" t="n">
        <v>0.08</v>
      </c>
      <c r="E19">
        <f>INDEX(B19:D19,$B$13)</f>
        <v/>
      </c>
    </row>
    <row r="20">
      <c r="A20" t="inlineStr">
        <is>
          <t>东瑞出口重量占比s</t>
        </is>
      </c>
      <c r="B20" s="3" t="n">
        <v>0.12</v>
      </c>
      <c r="C20" s="3" t="n">
        <v>0.16</v>
      </c>
      <c r="D20" s="3" t="n">
        <v>0.22</v>
      </c>
      <c r="E20">
        <f>INDEX(B20:D20,$B$13)</f>
        <v/>
      </c>
    </row>
    <row r="21">
      <c r="A21" t="inlineStr">
        <is>
          <t>东瑞出口−内销价差e（元/公斤）</t>
        </is>
      </c>
      <c r="B21" s="3" t="n">
        <v>1.1</v>
      </c>
      <c r="C21" s="3" t="n">
        <v>2.5</v>
      </c>
      <c r="D21" s="3" t="n">
        <v>4</v>
      </c>
      <c r="E21">
        <f>INDEX(B21:D21,$B$13)</f>
        <v/>
      </c>
    </row>
    <row r="24">
      <c r="A24" t="inlineStr">
        <is>
          <t>“正常年份”全国均价（用于18元超额利润，元/公斤）</t>
        </is>
      </c>
      <c r="B24" s="3" t="n">
        <v>14</v>
      </c>
    </row>
    <row r="25">
      <c r="A25" t="inlineStr">
        <is>
          <t>估值倍数1（隐含价格）</t>
        </is>
      </c>
      <c r="B25" s="3" t="n">
        <v>10</v>
      </c>
    </row>
    <row r="26">
      <c r="A26" t="inlineStr">
        <is>
          <t>估值倍数2（隐含价格）</t>
        </is>
      </c>
      <c r="B26" s="3" t="n">
        <v>15</v>
      </c>
    </row>
    <row r="27">
      <c r="A27" t="inlineStr">
        <is>
          <t>成本门槛倍数</t>
        </is>
      </c>
      <c r="B27" s="3" t="n">
        <v>8</v>
      </c>
    </row>
    <row r="28">
      <c r="A28" s="2" t="inlineStr">
        <is>
          <t>选定路径全国价</t>
        </is>
      </c>
      <c r="B28" s="2" t="inlineStr">
        <is>
          <t>Q1</t>
        </is>
      </c>
      <c r="C28" s="2" t="inlineStr">
        <is>
          <t>Q2</t>
        </is>
      </c>
      <c r="D28" s="2" t="inlineStr">
        <is>
          <t>Q3</t>
        </is>
      </c>
      <c r="E28" s="2" t="inlineStr">
        <is>
          <t>Q4</t>
        </is>
      </c>
      <c r="F28" s="2" t="inlineStr">
        <is>
          <t>年均</t>
        </is>
      </c>
    </row>
    <row r="29">
      <c r="B29">
        <f>INDEX(B4:B8,$B$12)</f>
        <v/>
      </c>
      <c r="C29">
        <f>INDEX(C4:C8,$B$12)</f>
        <v/>
      </c>
      <c r="D29">
        <f>INDEX(D4:D8,$B$12)</f>
        <v/>
      </c>
      <c r="E29">
        <f>INDEX(E4:E8,$B$12)</f>
        <v/>
      </c>
      <c r="F29">
        <f>AVERAGE(B29:E29)</f>
        <v/>
      </c>
    </row>
    <row r="31">
      <c r="A31" t="inlineStr">
        <is>
          <t>成本滑行权重（成本_q=C2027+w_q×(C最新−C2027)）</t>
        </is>
      </c>
      <c r="B31" t="n">
        <v>0.375</v>
      </c>
      <c r="C31" t="n">
        <v>0.125</v>
      </c>
      <c r="D31" t="n">
        <v>-0.125</v>
      </c>
      <c r="E31" t="n">
        <v>-0.375</v>
      </c>
    </row>
  </sheetData>
  <dataValidations count="2">
    <dataValidation sqref="B12" showDropDown="0" showInputMessage="0" showErrorMessage="0" allowBlank="0" type="whole" operator="between">
      <formula1>1</formula1>
      <formula2>5</formula2>
    </dataValidation>
    <dataValidation sqref="B13" showDropDown="0" showInputMessage="0" showErrorMessage="0" allowBlank="0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0" customWidth="1" min="23" max="23"/>
    <col width="28" customWidth="1" min="24" max="24"/>
    <col width="50" customWidth="1" min="25" max="25"/>
  </cols>
  <sheetData>
    <row r="1">
      <c r="A1" s="1" t="inlineStr">
        <is>
          <t>公司输入（黄色=研究假设，绿色=披露数据）</t>
        </is>
      </c>
    </row>
    <row r="4">
      <c r="A4" s="2" t="inlineStr">
        <is>
          <t>code</t>
        </is>
      </c>
      <c r="B4" s="2" t="inlineStr">
        <is>
          <t>公司</t>
        </is>
      </c>
      <c r="C4" s="2" t="inlineStr">
        <is>
          <t>市值(亿元,2026-10-08)</t>
        </is>
      </c>
      <c r="D4" s="2" t="inlineStr">
        <is>
          <t>育肥量熊(万头)</t>
        </is>
      </c>
      <c r="E4" s="2" t="inlineStr">
        <is>
          <t>育肥量基准</t>
        </is>
      </c>
      <c r="F4" s="2" t="inlineStr">
        <is>
          <t>育肥量牛</t>
        </is>
      </c>
      <c r="G4" s="2" t="inlineStr">
        <is>
          <t>出栏重(kg)</t>
        </is>
      </c>
      <c r="H4" s="2" t="inlineStr">
        <is>
          <t>仔猪(万头)</t>
        </is>
      </c>
      <c r="I4" s="2" t="inlineStr">
        <is>
          <t>最新成本(元/kg)</t>
        </is>
      </c>
      <c r="J4" s="2" t="inlineStr">
        <is>
          <t>2027成本熊</t>
        </is>
      </c>
      <c r="K4" s="2" t="inlineStr">
        <is>
          <t>2027成本基准</t>
        </is>
      </c>
      <c r="L4" s="2" t="inlineStr">
        <is>
          <t>2027成本牛</t>
        </is>
      </c>
      <c r="M4" s="2" t="inlineStr">
        <is>
          <t>区域溢价(相对全国)</t>
        </is>
      </c>
      <c r="N4" s="2" t="inlineStr">
        <is>
          <t>归属比例</t>
        </is>
      </c>
      <c r="O4" s="2" t="inlineStr">
        <is>
          <t>季节权重Q1</t>
        </is>
      </c>
      <c r="P4" s="2" t="inlineStr">
        <is>
          <t>Q2</t>
        </is>
      </c>
      <c r="Q4" s="2" t="inlineStr">
        <is>
          <t>Q3</t>
        </is>
      </c>
      <c r="R4" s="2" t="inlineStr">
        <is>
          <t>Q4</t>
        </is>
      </c>
      <c r="S4" s="2" t="inlineStr">
        <is>
          <t>东瑞=1</t>
        </is>
      </c>
      <c r="T4" s="2" t="inlineStr">
        <is>
          <t>选定育肥量</t>
        </is>
      </c>
      <c r="U4" s="2" t="inlineStr">
        <is>
          <t>选定成本</t>
        </is>
      </c>
      <c r="V4" s="2" t="inlineStr">
        <is>
          <t>依据（事实/目标/假设）</t>
        </is>
      </c>
      <c r="W4" s="2" t="inlineStr">
        <is>
          <t>归属比例来源</t>
        </is>
      </c>
      <c r="X4" s="2" t="inlineStr">
        <is>
          <t>最新成本口径</t>
        </is>
      </c>
    </row>
    <row r="5">
      <c r="A5" t="inlineStr">
        <is>
          <t>SZ002714</t>
        </is>
      </c>
      <c r="B5" t="inlineStr">
        <is>
          <t>牧原股份</t>
        </is>
      </c>
      <c r="C5" s="4" t="n">
        <v>2343.14</v>
      </c>
      <c r="D5" s="3" t="n">
        <v>7000</v>
      </c>
      <c r="E5" s="3" t="n">
        <v>7500</v>
      </c>
      <c r="F5" s="3" t="n">
        <v>8000</v>
      </c>
      <c r="G5" s="3" t="n">
        <v>120</v>
      </c>
      <c r="H5" s="3" t="n">
        <v>1000</v>
      </c>
      <c r="I5" s="4" t="n">
        <v>11.5</v>
      </c>
      <c r="J5" s="3" t="n">
        <v>11.8</v>
      </c>
      <c r="K5" s="3" t="n">
        <v>11.3</v>
      </c>
      <c r="L5" s="3" t="n">
        <v>11</v>
      </c>
      <c r="M5" s="3" t="n">
        <v>-0.0145</v>
      </c>
      <c r="N5" s="3" t="n">
        <v>0.9621</v>
      </c>
      <c r="O5" s="3" t="n">
        <v>0.236</v>
      </c>
      <c r="P5" s="3" t="n">
        <v>0.256</v>
      </c>
      <c r="Q5" s="3" t="n">
        <v>0.243</v>
      </c>
      <c r="R5" s="3" t="n">
        <v>0.265</v>
      </c>
      <c r="S5" t="n">
        <v>0</v>
      </c>
      <c r="T5">
        <f>INDEX(D5:F5,Paths!$B$13)</f>
        <v/>
      </c>
      <c r="U5">
        <f>IF(COUNT(J5:L5)=3,INDEX(J5:L5,Paths!$B$13),"")</f>
        <v/>
      </c>
      <c r="V5" t="inlineStr">
        <is>
          <t>量：2026商品猪指引7500-8100、能繁9月计划&lt;300万头（目标/事实）→2027取7500（假设）；重：政策降体重取120kg（假设）；仔猪：2025年1-9月1157万头，2025-08后不再披露，取1000万（假设）；成本：2026-07为11.5（事实），全年目标≤11.5（目标）</t>
        </is>
      </c>
      <c r="W5" t="inlineStr">
        <is>
          <t>2023-2025盈利年份归母/净利润均值</t>
        </is>
      </c>
      <c r="X5" t="inlineStr">
        <is>
          <t>生猪养殖完全成本（调研记录）</t>
        </is>
      </c>
    </row>
    <row r="6">
      <c r="A6" t="inlineStr">
        <is>
          <t>SZ300498</t>
        </is>
      </c>
      <c r="B6" t="inlineStr">
        <is>
          <t>温氏股份</t>
        </is>
      </c>
      <c r="C6" s="4" t="n">
        <v>989.4400000000001</v>
      </c>
      <c r="D6" s="3" t="n">
        <v>3300</v>
      </c>
      <c r="E6" s="3" t="n">
        <v>3500</v>
      </c>
      <c r="F6" s="3" t="n">
        <v>3700</v>
      </c>
      <c r="G6" s="3" t="n">
        <v>120</v>
      </c>
      <c r="H6" s="3" t="n">
        <v>0</v>
      </c>
      <c r="I6" s="4" t="n">
        <v>12</v>
      </c>
      <c r="J6" s="3" t="n">
        <v>12.2</v>
      </c>
      <c r="K6" s="3" t="n">
        <v>11.7</v>
      </c>
      <c r="L6" s="3" t="n">
        <v>11.4</v>
      </c>
      <c r="M6" s="3" t="n">
        <v>-0.0064</v>
      </c>
      <c r="N6" s="3" t="n">
        <v>0.9601</v>
      </c>
      <c r="O6" s="3" t="n">
        <v>0.212</v>
      </c>
      <c r="P6" s="3" t="n">
        <v>0.231</v>
      </c>
      <c r="Q6" s="3" t="n">
        <v>0.241</v>
      </c>
      <c r="R6" s="3" t="n">
        <v>0.316</v>
      </c>
      <c r="S6" t="n">
        <v>0</v>
      </c>
      <c r="T6">
        <f>INDEX(D6:F6,Paths!$B$13)</f>
        <v/>
      </c>
      <c r="U6">
        <f>IF(COUNT(J6:L6)=3,INDEX(J6:L6,Paths!$B$13),"")</f>
        <v/>
      </c>
      <c r="V6" t="inlineStr">
        <is>
          <t>量：2026年1-9月肉猪年化3535万（事实）；成本：8月&lt;12.0、2026目标11.8（事实/目标）；黄羽鸡等未建模</t>
        </is>
      </c>
      <c r="W6" t="inlineStr">
        <is>
          <t>2023-2025盈利年份归母/净利润均值</t>
        </is>
      </c>
      <c r="X6" t="inlineStr">
        <is>
          <t>肉猪养殖综合成本&lt;6.0元/斤（上限，换算元/公斤）</t>
        </is>
      </c>
    </row>
    <row r="7">
      <c r="A7" t="inlineStr">
        <is>
          <t>SZ000876</t>
        </is>
      </c>
      <c r="B7" t="inlineStr">
        <is>
          <t>新希望</t>
        </is>
      </c>
      <c r="C7" s="4" t="n">
        <v>335.94</v>
      </c>
      <c r="D7" s="3" t="n">
        <v>1350</v>
      </c>
      <c r="E7" s="3" t="n">
        <v>1450</v>
      </c>
      <c r="F7" s="3" t="n">
        <v>1550</v>
      </c>
      <c r="G7" s="3" t="n">
        <v>120</v>
      </c>
      <c r="H7" s="3" t="n">
        <v>140</v>
      </c>
      <c r="I7" s="4" t="n">
        <v>12.5</v>
      </c>
      <c r="J7" s="3" t="n">
        <v>12.8</v>
      </c>
      <c r="K7" s="3" t="n">
        <v>12.3</v>
      </c>
      <c r="L7" s="3" t="n">
        <v>11.9</v>
      </c>
      <c r="M7" s="3" t="n">
        <v>-0.0307</v>
      </c>
      <c r="N7" s="3" t="n">
        <v>0.95</v>
      </c>
      <c r="O7" s="3" t="n">
        <v>0.239</v>
      </c>
      <c r="P7" s="3" t="n">
        <v>0.243</v>
      </c>
      <c r="Q7" s="3" t="n">
        <v>0.23</v>
      </c>
      <c r="R7" s="3" t="n">
        <v>0.288</v>
      </c>
      <c r="S7" t="n">
        <v>0</v>
      </c>
      <c r="T7">
        <f>INDEX(D7:F7,Paths!$B$13)</f>
        <v/>
      </c>
      <c r="U7">
        <f>IF(COUNT(J7:L7)=3,INDEX(J7:L7,Paths!$B$13),"")</f>
        <v/>
      </c>
      <c r="V7" t="inlineStr">
        <is>
          <t>量：2026目标1600万全口径、商品猪年化1431万（目标/事实）；成本：运营场线12.0不含闲置（&lt;1元）→全口径取12.3（假设）；饲料未建模</t>
        </is>
      </c>
      <c r="W7" t="inlineStr">
        <is>
          <t>手工（实测值缺失或失真，见筛选输入表）</t>
        </is>
      </c>
      <c r="X7" t="inlineStr">
        <is>
          <t>运营场线12.0（不含闲置）+闲置影响取0.5（公司称&lt;1元，取中值，假设）</t>
        </is>
      </c>
    </row>
    <row r="8">
      <c r="A8" t="inlineStr">
        <is>
          <t>SZ002100</t>
        </is>
      </c>
      <c r="B8" t="inlineStr">
        <is>
          <t>天康生物</t>
        </is>
      </c>
      <c r="C8" s="4" t="n">
        <v>104.03</v>
      </c>
      <c r="D8" s="3" t="n">
        <v>330</v>
      </c>
      <c r="E8" s="3" t="n">
        <v>365</v>
      </c>
      <c r="F8" s="3" t="n">
        <v>390</v>
      </c>
      <c r="G8" s="3" t="n">
        <v>120</v>
      </c>
      <c r="H8" s="3" t="n">
        <v>100</v>
      </c>
      <c r="I8" s="4" t="n">
        <v>11.8</v>
      </c>
      <c r="J8" s="3" t="n">
        <v>12.3</v>
      </c>
      <c r="K8" s="3" t="n">
        <v>11.8</v>
      </c>
      <c r="L8" s="3" t="n">
        <v>11.5</v>
      </c>
      <c r="M8" s="3" t="n">
        <v>-0.0757</v>
      </c>
      <c r="N8" s="3" t="n">
        <v>0.84</v>
      </c>
      <c r="O8" s="3" t="n">
        <v>0.254</v>
      </c>
      <c r="P8" s="3" t="n">
        <v>0.225</v>
      </c>
      <c r="Q8" s="3" t="n">
        <v>0.236</v>
      </c>
      <c r="R8" s="3" t="n">
        <v>0.285</v>
      </c>
      <c r="S8" t="n">
        <v>0</v>
      </c>
      <c r="T8">
        <f>INDEX(D8:F8,Paths!$B$13)</f>
        <v/>
      </c>
      <c r="U8">
        <f>IF(COUNT(J8:L8)=3,INDEX(J8:L8,Paths!$B$13),"")</f>
        <v/>
      </c>
      <c r="V8" t="inlineStr">
        <is>
          <t>量：2026目标475万（天康315+羌都160）含仔猪，按2021年肥猪占比约77%折算（假设）；成本：6月11.8、目标&lt;12（事实/目标）；归属比例按羌都49%少数股东折算</t>
        </is>
      </c>
      <c r="W8" t="inlineStr">
        <is>
          <t>手工（实测值缺失或失真，见筛选输入表）</t>
        </is>
      </c>
      <c r="X8" t="inlineStr">
        <is>
          <t>生猪养殖成本（公司口径，是否含羌都未说明）</t>
        </is>
      </c>
    </row>
    <row r="9">
      <c r="A9" t="inlineStr">
        <is>
          <t>SZ001201</t>
        </is>
      </c>
      <c r="B9" t="inlineStr">
        <is>
          <t>东瑞股份</t>
        </is>
      </c>
      <c r="C9" s="4" t="n">
        <v>39.6</v>
      </c>
      <c r="D9" s="3" t="n">
        <v>140</v>
      </c>
      <c r="E9" s="3" t="n">
        <v>160</v>
      </c>
      <c r="F9" s="3" t="n">
        <v>175</v>
      </c>
      <c r="G9" s="3" t="n">
        <v>115</v>
      </c>
      <c r="H9" s="3" t="n">
        <v>40</v>
      </c>
      <c r="I9" s="4" t="n">
        <v>13.8</v>
      </c>
      <c r="J9" s="3" t="n">
        <v>13.5</v>
      </c>
      <c r="K9" s="3" t="n">
        <v>12.9</v>
      </c>
      <c r="L9" s="3" t="n">
        <v>12.5</v>
      </c>
      <c r="M9" s="3" t="n">
        <v>0</v>
      </c>
      <c r="N9" s="3" t="n">
        <v>0.99</v>
      </c>
      <c r="O9" s="3" t="n">
        <v>0.211</v>
      </c>
      <c r="P9" s="3" t="n">
        <v>0.307</v>
      </c>
      <c r="Q9" s="3" t="n">
        <v>0.213</v>
      </c>
      <c r="R9" s="3" t="n">
        <v>0.269</v>
      </c>
      <c r="S9" t="n">
        <v>1</v>
      </c>
      <c r="T9">
        <f>INDEX(D9:F9,Paths!$B$13)</f>
        <v/>
      </c>
      <c r="U9">
        <f>IF(COUNT(J9:L9)=3,INDEX(J9:L9,Paths!$B$13),"")</f>
        <v/>
      </c>
      <c r="V9" t="inlineStr">
        <is>
          <t>量：2026目标200万（150肉猪+50猪苗等），能繁9.2万持平（事实）；成本：7月13.8，2027目标&lt;12.5（事实/目标），基准取中间偏目标12.9（假设）；售价另按内销/出口拆分</t>
        </is>
      </c>
      <c r="W9" t="inlineStr">
        <is>
          <t>手工（实测值缺失或失真，见筛选输入表）</t>
        </is>
      </c>
      <c r="X9" t="inlineStr">
        <is>
          <t>完全成本（代养13.26）</t>
        </is>
      </c>
    </row>
    <row r="10">
      <c r="A10" t="inlineStr">
        <is>
          <t>SZ000048</t>
        </is>
      </c>
      <c r="B10" t="inlineStr">
        <is>
          <t>京基智农</t>
        </is>
      </c>
      <c r="C10" s="4" t="n">
        <v>94.48</v>
      </c>
      <c r="D10" s="3" t="n">
        <v>190</v>
      </c>
      <c r="E10" s="3" t="n">
        <v>210</v>
      </c>
      <c r="F10" s="3" t="n">
        <v>225</v>
      </c>
      <c r="G10" s="3" t="n">
        <v>120</v>
      </c>
      <c r="H10" s="3" t="n">
        <v>0</v>
      </c>
      <c r="I10" s="4" t="n">
        <v>13.3</v>
      </c>
      <c r="J10" s="3" t="n">
        <v>13.3</v>
      </c>
      <c r="K10" s="3" t="n">
        <v>12.6</v>
      </c>
      <c r="L10" s="3" t="n">
        <v>12</v>
      </c>
      <c r="M10" s="3" t="n">
        <v>0.0214</v>
      </c>
      <c r="N10" s="3" t="n">
        <v>0.9809</v>
      </c>
      <c r="O10" s="3" t="n">
        <v>0.212</v>
      </c>
      <c r="P10" s="3" t="n">
        <v>0.247</v>
      </c>
      <c r="Q10" s="3" t="n">
        <v>0.265</v>
      </c>
      <c r="R10" s="3" t="n">
        <v>0.275</v>
      </c>
      <c r="S10" t="n">
        <v>0</v>
      </c>
      <c r="T10">
        <f>INDEX(D10:F10,Paths!$B$13)</f>
        <v/>
      </c>
      <c r="U10">
        <f>IF(COUNT(J10:L10)=3,INDEX(J10:L10,Paths!$B$13),"")</f>
        <v/>
      </c>
      <c r="V10" t="inlineStr">
        <is>
          <t>量：2026年1-9月商品肥猪年化208万（事实）；成本：3月13.3、目标12.0（事实/目标），基准12.6（假设）</t>
        </is>
      </c>
      <c r="W10" t="inlineStr">
        <is>
          <t>2023-2025盈利年份归母/净利润均值</t>
        </is>
      </c>
      <c r="X10" t="inlineStr">
        <is>
          <t>生猪养殖完全成本（此后未披露）</t>
        </is>
      </c>
    </row>
    <row r="11">
      <c r="A11" t="inlineStr">
        <is>
          <t>SH605296</t>
        </is>
      </c>
      <c r="B11" t="inlineStr">
        <is>
          <t>神农集团</t>
        </is>
      </c>
      <c r="C11" s="4" t="n">
        <v>158.58</v>
      </c>
      <c r="D11" s="3" t="n">
        <v>340</v>
      </c>
      <c r="E11" s="3" t="n">
        <v>370</v>
      </c>
      <c r="F11" s="3" t="n">
        <v>400</v>
      </c>
      <c r="G11" s="3" t="n">
        <v>120</v>
      </c>
      <c r="H11" s="3" t="n">
        <v>0</v>
      </c>
      <c r="I11" s="4" t="n">
        <v>12</v>
      </c>
      <c r="J11" s="3" t="n">
        <v>12.1</v>
      </c>
      <c r="K11" s="3" t="n">
        <v>11.7</v>
      </c>
      <c r="L11" s="3" t="n">
        <v>11.4</v>
      </c>
      <c r="M11" s="3" t="n">
        <v>-0.0479</v>
      </c>
      <c r="N11" s="3" t="n">
        <v>1</v>
      </c>
      <c r="O11" s="3" t="n">
        <v>0.28</v>
      </c>
      <c r="P11" s="3" t="n">
        <v>0.221</v>
      </c>
      <c r="Q11" s="3" t="n">
        <v>0.185</v>
      </c>
      <c r="R11" s="3" t="n">
        <v>0.314</v>
      </c>
      <c r="S11" t="n">
        <v>0</v>
      </c>
      <c r="T11">
        <f>INDEX(D11:F11,Paths!$B$13)</f>
        <v/>
      </c>
      <c r="U11">
        <f>IF(COUNT(J11:L11)=3,INDEX(J11:L11,Paths!$B$13),"")</f>
        <v/>
      </c>
      <c r="V11" t="inlineStr">
        <is>
          <t>量：2026目标350万（目标）；成本：7月12.0、目标11.5（事实/目标）</t>
        </is>
      </c>
      <c r="W11" t="inlineStr">
        <is>
          <t>手工（实测值缺失或失真，见筛选输入表）</t>
        </is>
      </c>
      <c r="X11" t="inlineStr">
        <is>
          <t>完全成本</t>
        </is>
      </c>
    </row>
    <row r="12">
      <c r="A12" t="inlineStr">
        <is>
          <t>SH603477</t>
        </is>
      </c>
      <c r="B12" t="inlineStr">
        <is>
          <t>巨星农牧</t>
        </is>
      </c>
      <c r="C12" s="4" t="n">
        <v>71.91</v>
      </c>
      <c r="D12" s="3" t="n">
        <v>390</v>
      </c>
      <c r="E12" s="3" t="n">
        <v>430</v>
      </c>
      <c r="F12" s="3" t="n">
        <v>470</v>
      </c>
      <c r="G12" s="3" t="n">
        <v>120</v>
      </c>
      <c r="H12" s="3" t="n">
        <v>0</v>
      </c>
      <c r="I12" s="4" t="n">
        <v>12.4</v>
      </c>
      <c r="J12" s="3" t="n">
        <v>12.5</v>
      </c>
      <c r="K12" s="3" t="n">
        <v>12</v>
      </c>
      <c r="L12" s="3" t="n">
        <v>11.6</v>
      </c>
      <c r="M12" s="3" t="n">
        <v>-0.025</v>
      </c>
      <c r="N12" s="3" t="n">
        <v>0.9285</v>
      </c>
      <c r="O12" s="3" t="n">
        <v>0.182</v>
      </c>
      <c r="P12" s="3" t="n">
        <v>0.235</v>
      </c>
      <c r="Q12" s="3" t="n">
        <v>0.224</v>
      </c>
      <c r="R12" s="3" t="n">
        <v>0.359</v>
      </c>
      <c r="S12" t="n">
        <v>0</v>
      </c>
      <c r="T12">
        <f>INDEX(D12:F12,Paths!$B$13)</f>
        <v/>
      </c>
      <c r="U12">
        <f>IF(COUNT(J12:L12)=3,INDEX(J12:L12,Paths!$B$13),"")</f>
        <v/>
      </c>
      <c r="V12" t="inlineStr">
        <is>
          <t>量：2026年1-9月商品肥猪年化427万（事实）；成本：7月&lt;12.4、目标12.0（事实/目标）</t>
        </is>
      </c>
      <c r="W12" t="inlineStr">
        <is>
          <t>2023-2025盈利年份归母/净利润均值</t>
        </is>
      </c>
      <c r="X12" t="inlineStr">
        <is>
          <t>商品肥猪完全成本&lt;6.2元/斤（上限，换算）</t>
        </is>
      </c>
    </row>
    <row r="13">
      <c r="A13" t="inlineStr">
        <is>
          <t>SZ002567</t>
        </is>
      </c>
      <c r="B13" t="inlineStr">
        <is>
          <t>唐人神</t>
        </is>
      </c>
      <c r="C13" s="4" t="n">
        <v>51.88</v>
      </c>
      <c r="D13" s="3" t="n">
        <v>320</v>
      </c>
      <c r="E13" s="3" t="n">
        <v>360</v>
      </c>
      <c r="F13" s="3" t="n">
        <v>400</v>
      </c>
      <c r="G13" s="3" t="n">
        <v>120</v>
      </c>
      <c r="H13" s="3" t="n">
        <v>150</v>
      </c>
      <c r="I13" s="4" t="n">
        <v>12.26</v>
      </c>
      <c r="J13" s="3" t="n">
        <v>12.8</v>
      </c>
      <c r="K13" s="3" t="n">
        <v>12.2</v>
      </c>
      <c r="L13" s="3" t="n">
        <v>11.8</v>
      </c>
      <c r="M13" s="3" t="n">
        <v>0</v>
      </c>
      <c r="N13" s="3" t="n">
        <v>0.9</v>
      </c>
      <c r="O13" s="3" t="n">
        <v>0.237</v>
      </c>
      <c r="P13" s="3" t="n">
        <v>0.25</v>
      </c>
      <c r="Q13" s="3" t="n">
        <v>0.219</v>
      </c>
      <c r="R13" s="3" t="n">
        <v>0.294</v>
      </c>
      <c r="S13" t="n">
        <v>0</v>
      </c>
      <c r="T13">
        <f>INDEX(D13:F13,Paths!$B$13)</f>
        <v/>
      </c>
      <c r="U13">
        <f>IF(COUNT(J13:L13)=3,INDEX(J13:L13,Paths!$B$13),"")</f>
        <v/>
      </c>
      <c r="V13" t="inlineStr">
        <is>
          <t>量：2026目标500万含仔猪约150万（目标/推算）；成本：Q1营业总成本12.66、Q2环比-0.8（事实），基准12.2（假设）</t>
        </is>
      </c>
      <c r="W13" t="inlineStr">
        <is>
          <t>手工（实测值缺失或失真，见筛选输入表）</t>
        </is>
      </c>
      <c r="X13" t="inlineStr">
        <is>
          <t>Q1营业总成本12.66与Q2（环比-0.8）推算值的均值（推算）</t>
        </is>
      </c>
    </row>
    <row r="14">
      <c r="A14" t="inlineStr">
        <is>
          <t>SZ002385</t>
        </is>
      </c>
      <c r="B14" t="inlineStr">
        <is>
          <t>大北农</t>
        </is>
      </c>
      <c r="C14" s="4" t="n">
        <v>132.87</v>
      </c>
      <c r="D14" s="3" t="n">
        <v>360</v>
      </c>
      <c r="E14" s="3" t="n">
        <v>400</v>
      </c>
      <c r="F14" s="3" t="n">
        <v>430</v>
      </c>
      <c r="G14" s="3" t="n">
        <v>120</v>
      </c>
      <c r="H14" s="3" t="n">
        <v>0</v>
      </c>
      <c r="I14" s="4" t="n">
        <v>11.9</v>
      </c>
      <c r="J14" s="3" t="n">
        <v>12.4</v>
      </c>
      <c r="K14" s="3" t="n">
        <v>11.9</v>
      </c>
      <c r="L14" s="3" t="n">
        <v>11.6</v>
      </c>
      <c r="M14" s="3" t="n">
        <v>-0.02</v>
      </c>
      <c r="N14" s="3" t="n">
        <v>0.9</v>
      </c>
      <c r="O14" s="3" t="n">
        <v>0.233</v>
      </c>
      <c r="P14" s="3" t="n">
        <v>0.244</v>
      </c>
      <c r="Q14" s="3" t="n">
        <v>0.226</v>
      </c>
      <c r="R14" s="3" t="n">
        <v>0.298</v>
      </c>
      <c r="S14" t="n">
        <v>0</v>
      </c>
      <c r="T14">
        <f>INDEX(D14:F14,Paths!$B$13)</f>
        <v/>
      </c>
      <c r="U14">
        <f>IF(COUNT(J14:L14)=3,INDEX(J14:L14,Paths!$B$13),"")</f>
        <v/>
      </c>
      <c r="V14" t="inlineStr">
        <is>
          <t>量：2026年1-8月商品肥猪年化396万（事实）；成本：8月略低于12（事实）；饲料未建模</t>
        </is>
      </c>
      <c r="W14" t="inlineStr">
        <is>
          <t>手工（实测值缺失或失真，见筛选输入表）</t>
        </is>
      </c>
      <c r="X14" t="inlineStr">
        <is>
          <t>育肥猪完全成本略低于12元/公斤</t>
        </is>
      </c>
    </row>
    <row r="15">
      <c r="A15" t="inlineStr">
        <is>
          <t>SH603363</t>
        </is>
      </c>
      <c r="B15" t="inlineStr">
        <is>
          <t>傲农生物</t>
        </is>
      </c>
      <c r="C15" s="4" t="n">
        <v>75.92</v>
      </c>
      <c r="D15" s="3" t="n">
        <v>120</v>
      </c>
      <c r="E15" s="3" t="n">
        <v>150</v>
      </c>
      <c r="F15" s="3" t="n">
        <v>170</v>
      </c>
      <c r="G15" s="3" t="n">
        <v>120</v>
      </c>
      <c r="H15" s="3" t="n">
        <v>100</v>
      </c>
      <c r="I15" s="4" t="n">
        <v>13</v>
      </c>
      <c r="J15" s="3" t="n">
        <v>13.3</v>
      </c>
      <c r="K15" s="3" t="n">
        <v>12.6</v>
      </c>
      <c r="L15" s="3" t="n">
        <v>12.2</v>
      </c>
      <c r="M15" s="3" t="n">
        <v>0</v>
      </c>
      <c r="N15" s="3" t="n">
        <v>1</v>
      </c>
      <c r="O15" s="3" t="n">
        <v>0.201</v>
      </c>
      <c r="P15" s="3" t="n">
        <v>0.246</v>
      </c>
      <c r="Q15" s="3" t="n">
        <v>0.261</v>
      </c>
      <c r="R15" s="3" t="n">
        <v>0.291</v>
      </c>
      <c r="S15" t="n">
        <v>0</v>
      </c>
      <c r="T15">
        <f>INDEX(D15:F15,Paths!$B$13)</f>
        <v/>
      </c>
      <c r="U15">
        <f>IF(COUNT(J15:L15)=3,INDEX(J15:L15,Paths!$B$13),"")</f>
        <v/>
      </c>
      <c r="V15" t="inlineStr">
        <is>
          <t>量：2026目标出栏240万，肥猪占比未披露，按60%（假设）；成本：实际未披露，目标12.25（目标），基准12.6（假设，低可信）</t>
        </is>
      </c>
      <c r="W15" t="inlineStr">
        <is>
          <t>手工（实测值缺失或失真，见筛选输入表）</t>
        </is>
      </c>
      <c r="X15" t="inlineStr">
        <is>
          <t>H1养殖毛利率-18.92%、均价约10.5元反推营业成本约12.5，加期间费用约0.5（推算+假设）</t>
        </is>
      </c>
    </row>
    <row r="16">
      <c r="A16" t="inlineStr">
        <is>
          <t>SZ002124</t>
        </is>
      </c>
      <c r="B16" t="inlineStr">
        <is>
          <t>天邦食品</t>
        </is>
      </c>
      <c r="C16" s="4" t="n">
        <v>43.33</v>
      </c>
      <c r="D16" s="3" t="n">
        <v>380</v>
      </c>
      <c r="E16" s="3" t="n">
        <v>450</v>
      </c>
      <c r="F16" s="3" t="n">
        <v>500</v>
      </c>
      <c r="G16" s="3" t="n">
        <v>120</v>
      </c>
      <c r="H16" s="3" t="n">
        <v>250</v>
      </c>
      <c r="I16" s="4" t="n">
        <v>12.65</v>
      </c>
      <c r="J16" s="3" t="n">
        <v>13.2</v>
      </c>
      <c r="K16" s="3" t="n">
        <v>12.5</v>
      </c>
      <c r="L16" s="3" t="n">
        <v>12.2</v>
      </c>
      <c r="M16" s="3" t="n">
        <v>-0.036</v>
      </c>
      <c r="N16" s="3" t="n">
        <v>0.9998</v>
      </c>
      <c r="O16" s="3" t="n">
        <v>0.222</v>
      </c>
      <c r="P16" s="3" t="n">
        <v>0.222</v>
      </c>
      <c r="Q16" s="3" t="n">
        <v>0.252</v>
      </c>
      <c r="R16" s="3" t="n">
        <v>0.304</v>
      </c>
      <c r="S16" t="n">
        <v>0</v>
      </c>
      <c r="T16">
        <f>INDEX(D16:F16,Paths!$B$13)</f>
        <v/>
      </c>
      <c r="U16">
        <f>IF(COUNT(J16:L16)=3,INDEX(J16:L16,Paths!$B$13),"")</f>
        <v/>
      </c>
      <c r="V16" t="inlineStr">
        <is>
          <t>量：2026年1-8月肥猪年化487万（推算）、目标630万含仔猪；成本：H1 12.65、目标12.26（事实/目标）；预重整中，股东权益可能被稀释</t>
        </is>
      </c>
      <c r="W16" t="inlineStr">
        <is>
          <t>2023-2025盈利年份归母/净利润均值</t>
        </is>
      </c>
      <c r="X16" t="inlineStr">
        <is>
          <t>育肥完全成本（含空栏0.31）</t>
        </is>
      </c>
    </row>
    <row r="17">
      <c r="A17" t="inlineStr">
        <is>
          <t>SZ002548</t>
        </is>
      </c>
      <c r="B17" t="inlineStr">
        <is>
          <t>金新农</t>
        </is>
      </c>
      <c r="C17" s="4" t="n">
        <v>31.88</v>
      </c>
      <c r="D17" s="3" t="n">
        <v>70</v>
      </c>
      <c r="E17" s="3" t="n">
        <v>85</v>
      </c>
      <c r="F17" s="3" t="n">
        <v>95</v>
      </c>
      <c r="G17" s="3" t="n">
        <v>120</v>
      </c>
      <c r="H17" s="3" t="n">
        <v>70</v>
      </c>
      <c r="I17" s="4" t="n">
        <v>12.77</v>
      </c>
      <c r="J17" s="3" t="n">
        <v>13.2</v>
      </c>
      <c r="K17" s="3" t="n">
        <v>12.6</v>
      </c>
      <c r="L17" s="3" t="n">
        <v>12.3</v>
      </c>
      <c r="M17" s="3" t="n">
        <v>0.0191</v>
      </c>
      <c r="N17" s="3" t="n">
        <v>0.8781</v>
      </c>
      <c r="O17" s="3" t="n">
        <v>0.225</v>
      </c>
      <c r="P17" s="3" t="n">
        <v>0.203</v>
      </c>
      <c r="Q17" s="3" t="n">
        <v>0.202</v>
      </c>
      <c r="R17" s="3" t="n">
        <v>0.37</v>
      </c>
      <c r="S17" t="n">
        <v>0</v>
      </c>
      <c r="T17">
        <f>INDEX(D17:F17,Paths!$B$13)</f>
        <v/>
      </c>
      <c r="U17">
        <f>IF(COUNT(J17:L17)=3,INDEX(J17:L17,Paths!$B$13),"")</f>
        <v/>
      </c>
      <c r="V17" t="inlineStr">
        <is>
          <t>量：2026年1-8月商品猪年化80万（推算）、仔猪约70万；成本：4月12.77、目标12.5（事实/目标）</t>
        </is>
      </c>
      <c r="W17" t="inlineStr">
        <is>
          <t>2023-2025盈利年份归母/净利润均值</t>
        </is>
      </c>
      <c r="X17" t="inlineStr">
        <is>
          <t>商品猪销售成本</t>
        </is>
      </c>
    </row>
    <row r="18">
      <c r="A18" t="inlineStr">
        <is>
          <t>SZ002840</t>
        </is>
      </c>
      <c r="B18" t="inlineStr">
        <is>
          <t>华统股份</t>
        </is>
      </c>
      <c r="C18" s="4" t="n">
        <v>63.45</v>
      </c>
      <c r="D18" s="3" t="n">
        <v>200</v>
      </c>
      <c r="E18" s="3" t="n">
        <v>230</v>
      </c>
      <c r="F18" s="3" t="n">
        <v>260</v>
      </c>
      <c r="G18" s="3" t="n">
        <v>120</v>
      </c>
      <c r="H18" s="3" t="n">
        <v>0</v>
      </c>
      <c r="I18" s="4" t="n"/>
      <c r="J18" s="3" t="n"/>
      <c r="K18" s="3" t="n"/>
      <c r="L18" s="3" t="n"/>
      <c r="M18" s="3" t="n">
        <v>-0.0188</v>
      </c>
      <c r="N18" s="3" t="n">
        <v>0.7638</v>
      </c>
      <c r="O18" s="3" t="n">
        <v>0.254</v>
      </c>
      <c r="P18" s="3" t="n">
        <v>0.233</v>
      </c>
      <c r="Q18" s="3" t="n">
        <v>0.231</v>
      </c>
      <c r="R18" s="3" t="n">
        <v>0.283</v>
      </c>
      <c r="S18" t="n">
        <v>0</v>
      </c>
      <c r="T18">
        <f>INDEX(D18:F18,Paths!$B$13)</f>
        <v/>
      </c>
      <c r="U18">
        <f>IF(COUNT(J18:L18)=3,INDEX(J18:L18,Paths!$B$13),"")</f>
        <v/>
      </c>
      <c r="V18" t="inlineStr">
        <is>
          <t>成本未披露：不计算情景利润，只给成本门槛</t>
        </is>
      </c>
      <c r="W18" t="inlineStr">
        <is>
          <t>2023-2025盈利年份归母/净利润均值</t>
        </is>
      </c>
      <c r="X18" t="inlineStr">
        <is>
          <t>未披露任何养殖成本</t>
        </is>
      </c>
    </row>
    <row r="19">
      <c r="A19" t="inlineStr">
        <is>
          <t>SH600975</t>
        </is>
      </c>
      <c r="B19" t="inlineStr">
        <is>
          <t>新五丰</t>
        </is>
      </c>
      <c r="C19" s="4" t="n">
        <v>63.61</v>
      </c>
      <c r="D19" s="3" t="n">
        <v>290</v>
      </c>
      <c r="E19" s="3" t="n">
        <v>320</v>
      </c>
      <c r="F19" s="3" t="n">
        <v>350</v>
      </c>
      <c r="G19" s="3" t="n">
        <v>120</v>
      </c>
      <c r="H19" s="3" t="n">
        <v>250</v>
      </c>
      <c r="I19" s="4" t="n"/>
      <c r="J19" s="3" t="n"/>
      <c r="K19" s="3" t="n"/>
      <c r="L19" s="3" t="n"/>
      <c r="M19" s="3" t="n">
        <v>-0.0288</v>
      </c>
      <c r="N19" s="3" t="n">
        <v>0.8256</v>
      </c>
      <c r="O19" s="3" t="n">
        <v>0.25</v>
      </c>
      <c r="P19" s="3" t="n">
        <v>0.25</v>
      </c>
      <c r="Q19" s="3" t="n">
        <v>0.25</v>
      </c>
      <c r="R19" s="3" t="n">
        <v>0.25</v>
      </c>
      <c r="S19" t="n">
        <v>0</v>
      </c>
      <c r="T19">
        <f>INDEX(D19:F19,Paths!$B$13)</f>
        <v/>
      </c>
      <c r="U19">
        <f>IF(COUNT(J19:L19)=3,INDEX(J19:L19,Paths!$B$13),"")</f>
        <v/>
      </c>
      <c r="V19" t="inlineStr">
        <is>
          <t>成本未披露（只有同比降幅）：不计算情景利润，只给成本门槛</t>
        </is>
      </c>
      <c r="W19" t="inlineStr">
        <is>
          <t>2023-2025盈利年份归母/净利润均值</t>
        </is>
      </c>
      <c r="X19" t="inlineStr">
        <is>
          <t>未披露绝对值（H1同比-8%）</t>
        </is>
      </c>
    </row>
    <row r="20">
      <c r="A20" t="inlineStr">
        <is>
          <t>SZ002157</t>
        </is>
      </c>
      <c r="B20" t="inlineStr">
        <is>
          <t>正邦科技</t>
        </is>
      </c>
      <c r="C20" s="4" t="n">
        <v>266.4</v>
      </c>
      <c r="D20" s="3" t="n">
        <v>420</v>
      </c>
      <c r="E20" s="3" t="n">
        <v>500</v>
      </c>
      <c r="F20" s="3" t="n">
        <v>600</v>
      </c>
      <c r="G20" s="3" t="n">
        <v>120</v>
      </c>
      <c r="H20" s="3" t="n">
        <v>400</v>
      </c>
      <c r="I20" s="4" t="n"/>
      <c r="J20" s="3" t="n"/>
      <c r="K20" s="3" t="n"/>
      <c r="L20" s="3" t="n"/>
      <c r="M20" s="3" t="n">
        <v>-0.003</v>
      </c>
      <c r="N20" s="3" t="n">
        <v>1</v>
      </c>
      <c r="O20" s="3" t="n">
        <v>0.193</v>
      </c>
      <c r="P20" s="3" t="n">
        <v>0.226</v>
      </c>
      <c r="Q20" s="3" t="n">
        <v>0.253</v>
      </c>
      <c r="R20" s="3" t="n">
        <v>0.329</v>
      </c>
      <c r="S20" t="n">
        <v>0</v>
      </c>
      <c r="T20">
        <f>INDEX(D20:F20,Paths!$B$13)</f>
        <v/>
      </c>
      <c r="U20">
        <f>IF(COUNT(J20:L20)=3,INDEX(J20:L20,Paths!$B$13),"")</f>
        <v/>
      </c>
      <c r="V20" t="inlineStr">
        <is>
          <t>成本与商品猪拆分未披露：不计算情景利润，只给成本门槛</t>
        </is>
      </c>
      <c r="W20" t="inlineStr">
        <is>
          <t>手工（实测值缺失或失真，见筛选输入表）</t>
        </is>
      </c>
      <c r="X20" t="inlineStr">
        <is>
          <t>未披露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9" customWidth="1" min="4" max="4"/>
    <col width="9" customWidth="1" min="5" max="5"/>
    <col width="9" customWidth="1" min="6" max="6"/>
    <col width="11" customWidth="1" min="7" max="7"/>
    <col width="10" customWidth="1" min="8" max="8"/>
    <col width="12" customWidth="1" min="9" max="9"/>
  </cols>
  <sheetData>
    <row r="1">
      <c r="A1" s="2" t="inlineStr">
        <is>
          <t>code</t>
        </is>
      </c>
      <c r="B1" s="2" t="inlineStr">
        <is>
          <t>公司</t>
        </is>
      </c>
      <c r="C1" s="2" t="inlineStr">
        <is>
          <t>季度</t>
        </is>
      </c>
      <c r="D1" s="2" t="inlineStr">
        <is>
          <t>全国价</t>
        </is>
      </c>
      <c r="E1" s="2" t="inlineStr">
        <is>
          <t>公司售价</t>
        </is>
      </c>
      <c r="F1" s="2" t="inlineStr">
        <is>
          <t>完全成本</t>
        </is>
      </c>
      <c r="G1" s="2" t="inlineStr">
        <is>
          <t>育肥量(万头)</t>
        </is>
      </c>
      <c r="H1" s="2" t="inlineStr">
        <is>
          <t>每公斤毛利</t>
        </is>
      </c>
      <c r="I1" s="2" t="inlineStr">
        <is>
          <t>养殖利润(亿元)</t>
        </is>
      </c>
    </row>
    <row r="2">
      <c r="A2" t="inlineStr">
        <is>
          <t>SZ002714</t>
        </is>
      </c>
      <c r="B2">
        <f>Company!B5</f>
        <v/>
      </c>
      <c r="C2" t="n">
        <v>1</v>
      </c>
      <c r="D2">
        <f>Paths!B$29</f>
        <v/>
      </c>
      <c r="E2">
        <f>IF(Company!$S$5=1,D2*(1+Paths!$E$19)+Paths!$E$20*Paths!$E$21,D2*(1+Company!$M$5))</f>
        <v/>
      </c>
      <c r="F2">
        <f>IF(Company!$U$5="","",Company!$U$5+Paths!B$31*(IF(ISNUMBER(Company!$I$5),Company!$I$5,Company!$U$5)-Company!$U$5))</f>
        <v/>
      </c>
      <c r="G2">
        <f>Company!$T$5*Company!O$5</f>
        <v/>
      </c>
      <c r="H2">
        <f>IF(F2="",0,E2-F2)</f>
        <v/>
      </c>
      <c r="I2">
        <f>IF(F2="",0,G2*10000*Company!$G$5*H2/100000000)</f>
        <v/>
      </c>
    </row>
    <row r="3">
      <c r="A3" t="inlineStr">
        <is>
          <t>SZ002714</t>
        </is>
      </c>
      <c r="B3">
        <f>Company!B5</f>
        <v/>
      </c>
      <c r="C3" t="n">
        <v>2</v>
      </c>
      <c r="D3">
        <f>Paths!C$29</f>
        <v/>
      </c>
      <c r="E3">
        <f>IF(Company!$S$5=1,D3*(1+Paths!$E$19)+Paths!$E$20*Paths!$E$21,D3*(1+Company!$M$5))</f>
        <v/>
      </c>
      <c r="F3">
        <f>IF(Company!$U$5="","",Company!$U$5+Paths!C$31*(IF(ISNUMBER(Company!$I$5),Company!$I$5,Company!$U$5)-Company!$U$5))</f>
        <v/>
      </c>
      <c r="G3">
        <f>Company!$T$5*Company!P$5</f>
        <v/>
      </c>
      <c r="H3">
        <f>IF(F3="",0,E3-F3)</f>
        <v/>
      </c>
      <c r="I3">
        <f>IF(F3="",0,G3*10000*Company!$G$5*H3/100000000)</f>
        <v/>
      </c>
    </row>
    <row r="4">
      <c r="A4" t="inlineStr">
        <is>
          <t>SZ002714</t>
        </is>
      </c>
      <c r="B4">
        <f>Company!B5</f>
        <v/>
      </c>
      <c r="C4" t="n">
        <v>3</v>
      </c>
      <c r="D4">
        <f>Paths!D$29</f>
        <v/>
      </c>
      <c r="E4">
        <f>IF(Company!$S$5=1,D4*(1+Paths!$E$19)+Paths!$E$20*Paths!$E$21,D4*(1+Company!$M$5))</f>
        <v/>
      </c>
      <c r="F4">
        <f>IF(Company!$U$5="","",Company!$U$5+Paths!D$31*(IF(ISNUMBER(Company!$I$5),Company!$I$5,Company!$U$5)-Company!$U$5))</f>
        <v/>
      </c>
      <c r="G4">
        <f>Company!$T$5*Company!Q$5</f>
        <v/>
      </c>
      <c r="H4">
        <f>IF(F4="",0,E4-F4)</f>
        <v/>
      </c>
      <c r="I4">
        <f>IF(F4="",0,G4*10000*Company!$G$5*H4/100000000)</f>
        <v/>
      </c>
    </row>
    <row r="5">
      <c r="A5" t="inlineStr">
        <is>
          <t>SZ002714</t>
        </is>
      </c>
      <c r="B5">
        <f>Company!B5</f>
        <v/>
      </c>
      <c r="C5" t="n">
        <v>4</v>
      </c>
      <c r="D5">
        <f>Paths!E$29</f>
        <v/>
      </c>
      <c r="E5">
        <f>IF(Company!$S$5=1,D5*(1+Paths!$E$19)+Paths!$E$20*Paths!$E$21,D5*(1+Company!$M$5))</f>
        <v/>
      </c>
      <c r="F5">
        <f>IF(Company!$U$5="","",Company!$U$5+Paths!E$31*(IF(ISNUMBER(Company!$I$5),Company!$I$5,Company!$U$5)-Company!$U$5))</f>
        <v/>
      </c>
      <c r="G5">
        <f>Company!$T$5*Company!R$5</f>
        <v/>
      </c>
      <c r="H5">
        <f>IF(F5="",0,E5-F5)</f>
        <v/>
      </c>
      <c r="I5">
        <f>IF(F5="",0,G5*10000*Company!$G$5*H5/100000000)</f>
        <v/>
      </c>
    </row>
    <row r="6">
      <c r="A6" t="inlineStr">
        <is>
          <t>SZ300498</t>
        </is>
      </c>
      <c r="B6">
        <f>Company!B6</f>
        <v/>
      </c>
      <c r="C6" t="n">
        <v>1</v>
      </c>
      <c r="D6">
        <f>Paths!B$29</f>
        <v/>
      </c>
      <c r="E6">
        <f>IF(Company!$S$6=1,D6*(1+Paths!$E$19)+Paths!$E$20*Paths!$E$21,D6*(1+Company!$M$6))</f>
        <v/>
      </c>
      <c r="F6">
        <f>IF(Company!$U$6="","",Company!$U$6+Paths!B$31*(IF(ISNUMBER(Company!$I$6),Company!$I$6,Company!$U$6)-Company!$U$6))</f>
        <v/>
      </c>
      <c r="G6">
        <f>Company!$T$6*Company!O$6</f>
        <v/>
      </c>
      <c r="H6">
        <f>IF(F6="",0,E6-F6)</f>
        <v/>
      </c>
      <c r="I6">
        <f>IF(F6="",0,G6*10000*Company!$G$6*H6/100000000)</f>
        <v/>
      </c>
    </row>
    <row r="7">
      <c r="A7" t="inlineStr">
        <is>
          <t>SZ300498</t>
        </is>
      </c>
      <c r="B7">
        <f>Company!B6</f>
        <v/>
      </c>
      <c r="C7" t="n">
        <v>2</v>
      </c>
      <c r="D7">
        <f>Paths!C$29</f>
        <v/>
      </c>
      <c r="E7">
        <f>IF(Company!$S$6=1,D7*(1+Paths!$E$19)+Paths!$E$20*Paths!$E$21,D7*(1+Company!$M$6))</f>
        <v/>
      </c>
      <c r="F7">
        <f>IF(Company!$U$6="","",Company!$U$6+Paths!C$31*(IF(ISNUMBER(Company!$I$6),Company!$I$6,Company!$U$6)-Company!$U$6))</f>
        <v/>
      </c>
      <c r="G7">
        <f>Company!$T$6*Company!P$6</f>
        <v/>
      </c>
      <c r="H7">
        <f>IF(F7="",0,E7-F7)</f>
        <v/>
      </c>
      <c r="I7">
        <f>IF(F7="",0,G7*10000*Company!$G$6*H7/100000000)</f>
        <v/>
      </c>
    </row>
    <row r="8">
      <c r="A8" t="inlineStr">
        <is>
          <t>SZ300498</t>
        </is>
      </c>
      <c r="B8">
        <f>Company!B6</f>
        <v/>
      </c>
      <c r="C8" t="n">
        <v>3</v>
      </c>
      <c r="D8">
        <f>Paths!D$29</f>
        <v/>
      </c>
      <c r="E8">
        <f>IF(Company!$S$6=1,D8*(1+Paths!$E$19)+Paths!$E$20*Paths!$E$21,D8*(1+Company!$M$6))</f>
        <v/>
      </c>
      <c r="F8">
        <f>IF(Company!$U$6="","",Company!$U$6+Paths!D$31*(IF(ISNUMBER(Company!$I$6),Company!$I$6,Company!$U$6)-Company!$U$6))</f>
        <v/>
      </c>
      <c r="G8">
        <f>Company!$T$6*Company!Q$6</f>
        <v/>
      </c>
      <c r="H8">
        <f>IF(F8="",0,E8-F8)</f>
        <v/>
      </c>
      <c r="I8">
        <f>IF(F8="",0,G8*10000*Company!$G$6*H8/100000000)</f>
        <v/>
      </c>
    </row>
    <row r="9">
      <c r="A9" t="inlineStr">
        <is>
          <t>SZ300498</t>
        </is>
      </c>
      <c r="B9">
        <f>Company!B6</f>
        <v/>
      </c>
      <c r="C9" t="n">
        <v>4</v>
      </c>
      <c r="D9">
        <f>Paths!E$29</f>
        <v/>
      </c>
      <c r="E9">
        <f>IF(Company!$S$6=1,D9*(1+Paths!$E$19)+Paths!$E$20*Paths!$E$21,D9*(1+Company!$M$6))</f>
        <v/>
      </c>
      <c r="F9">
        <f>IF(Company!$U$6="","",Company!$U$6+Paths!E$31*(IF(ISNUMBER(Company!$I$6),Company!$I$6,Company!$U$6)-Company!$U$6))</f>
        <v/>
      </c>
      <c r="G9">
        <f>Company!$T$6*Company!R$6</f>
        <v/>
      </c>
      <c r="H9">
        <f>IF(F9="",0,E9-F9)</f>
        <v/>
      </c>
      <c r="I9">
        <f>IF(F9="",0,G9*10000*Company!$G$6*H9/100000000)</f>
        <v/>
      </c>
    </row>
    <row r="10">
      <c r="A10" t="inlineStr">
        <is>
          <t>SZ000876</t>
        </is>
      </c>
      <c r="B10">
        <f>Company!B7</f>
        <v/>
      </c>
      <c r="C10" t="n">
        <v>1</v>
      </c>
      <c r="D10">
        <f>Paths!B$29</f>
        <v/>
      </c>
      <c r="E10">
        <f>IF(Company!$S$7=1,D10*(1+Paths!$E$19)+Paths!$E$20*Paths!$E$21,D10*(1+Company!$M$7))</f>
        <v/>
      </c>
      <c r="F10">
        <f>IF(Company!$U$7="","",Company!$U$7+Paths!B$31*(IF(ISNUMBER(Company!$I$7),Company!$I$7,Company!$U$7)-Company!$U$7))</f>
        <v/>
      </c>
      <c r="G10">
        <f>Company!$T$7*Company!O$7</f>
        <v/>
      </c>
      <c r="H10">
        <f>IF(F10="",0,E10-F10)</f>
        <v/>
      </c>
      <c r="I10">
        <f>IF(F10="",0,G10*10000*Company!$G$7*H10/100000000)</f>
        <v/>
      </c>
    </row>
    <row r="11">
      <c r="A11" t="inlineStr">
        <is>
          <t>SZ000876</t>
        </is>
      </c>
      <c r="B11">
        <f>Company!B7</f>
        <v/>
      </c>
      <c r="C11" t="n">
        <v>2</v>
      </c>
      <c r="D11">
        <f>Paths!C$29</f>
        <v/>
      </c>
      <c r="E11">
        <f>IF(Company!$S$7=1,D11*(1+Paths!$E$19)+Paths!$E$20*Paths!$E$21,D11*(1+Company!$M$7))</f>
        <v/>
      </c>
      <c r="F11">
        <f>IF(Company!$U$7="","",Company!$U$7+Paths!C$31*(IF(ISNUMBER(Company!$I$7),Company!$I$7,Company!$U$7)-Company!$U$7))</f>
        <v/>
      </c>
      <c r="G11">
        <f>Company!$T$7*Company!P$7</f>
        <v/>
      </c>
      <c r="H11">
        <f>IF(F11="",0,E11-F11)</f>
        <v/>
      </c>
      <c r="I11">
        <f>IF(F11="",0,G11*10000*Company!$G$7*H11/100000000)</f>
        <v/>
      </c>
    </row>
    <row r="12">
      <c r="A12" t="inlineStr">
        <is>
          <t>SZ000876</t>
        </is>
      </c>
      <c r="B12">
        <f>Company!B7</f>
        <v/>
      </c>
      <c r="C12" t="n">
        <v>3</v>
      </c>
      <c r="D12">
        <f>Paths!D$29</f>
        <v/>
      </c>
      <c r="E12">
        <f>IF(Company!$S$7=1,D12*(1+Paths!$E$19)+Paths!$E$20*Paths!$E$21,D12*(1+Company!$M$7))</f>
        <v/>
      </c>
      <c r="F12">
        <f>IF(Company!$U$7="","",Company!$U$7+Paths!D$31*(IF(ISNUMBER(Company!$I$7),Company!$I$7,Company!$U$7)-Company!$U$7))</f>
        <v/>
      </c>
      <c r="G12">
        <f>Company!$T$7*Company!Q$7</f>
        <v/>
      </c>
      <c r="H12">
        <f>IF(F12="",0,E12-F12)</f>
        <v/>
      </c>
      <c r="I12">
        <f>IF(F12="",0,G12*10000*Company!$G$7*H12/100000000)</f>
        <v/>
      </c>
    </row>
    <row r="13">
      <c r="A13" t="inlineStr">
        <is>
          <t>SZ000876</t>
        </is>
      </c>
      <c r="B13">
        <f>Company!B7</f>
        <v/>
      </c>
      <c r="C13" t="n">
        <v>4</v>
      </c>
      <c r="D13">
        <f>Paths!E$29</f>
        <v/>
      </c>
      <c r="E13">
        <f>IF(Company!$S$7=1,D13*(1+Paths!$E$19)+Paths!$E$20*Paths!$E$21,D13*(1+Company!$M$7))</f>
        <v/>
      </c>
      <c r="F13">
        <f>IF(Company!$U$7="","",Company!$U$7+Paths!E$31*(IF(ISNUMBER(Company!$I$7),Company!$I$7,Company!$U$7)-Company!$U$7))</f>
        <v/>
      </c>
      <c r="G13">
        <f>Company!$T$7*Company!R$7</f>
        <v/>
      </c>
      <c r="H13">
        <f>IF(F13="",0,E13-F13)</f>
        <v/>
      </c>
      <c r="I13">
        <f>IF(F13="",0,G13*10000*Company!$G$7*H13/100000000)</f>
        <v/>
      </c>
    </row>
    <row r="14">
      <c r="A14" t="inlineStr">
        <is>
          <t>SZ002100</t>
        </is>
      </c>
      <c r="B14">
        <f>Company!B8</f>
        <v/>
      </c>
      <c r="C14" t="n">
        <v>1</v>
      </c>
      <c r="D14">
        <f>Paths!B$29</f>
        <v/>
      </c>
      <c r="E14">
        <f>IF(Company!$S$8=1,D14*(1+Paths!$E$19)+Paths!$E$20*Paths!$E$21,D14*(1+Company!$M$8))</f>
        <v/>
      </c>
      <c r="F14">
        <f>IF(Company!$U$8="","",Company!$U$8+Paths!B$31*(IF(ISNUMBER(Company!$I$8),Company!$I$8,Company!$U$8)-Company!$U$8))</f>
        <v/>
      </c>
      <c r="G14">
        <f>Company!$T$8*Company!O$8</f>
        <v/>
      </c>
      <c r="H14">
        <f>IF(F14="",0,E14-F14)</f>
        <v/>
      </c>
      <c r="I14">
        <f>IF(F14="",0,G14*10000*Company!$G$8*H14/100000000)</f>
        <v/>
      </c>
    </row>
    <row r="15">
      <c r="A15" t="inlineStr">
        <is>
          <t>SZ002100</t>
        </is>
      </c>
      <c r="B15">
        <f>Company!B8</f>
        <v/>
      </c>
      <c r="C15" t="n">
        <v>2</v>
      </c>
      <c r="D15">
        <f>Paths!C$29</f>
        <v/>
      </c>
      <c r="E15">
        <f>IF(Company!$S$8=1,D15*(1+Paths!$E$19)+Paths!$E$20*Paths!$E$21,D15*(1+Company!$M$8))</f>
        <v/>
      </c>
      <c r="F15">
        <f>IF(Company!$U$8="","",Company!$U$8+Paths!C$31*(IF(ISNUMBER(Company!$I$8),Company!$I$8,Company!$U$8)-Company!$U$8))</f>
        <v/>
      </c>
      <c r="G15">
        <f>Company!$T$8*Company!P$8</f>
        <v/>
      </c>
      <c r="H15">
        <f>IF(F15="",0,E15-F15)</f>
        <v/>
      </c>
      <c r="I15">
        <f>IF(F15="",0,G15*10000*Company!$G$8*H15/100000000)</f>
        <v/>
      </c>
    </row>
    <row r="16">
      <c r="A16" t="inlineStr">
        <is>
          <t>SZ002100</t>
        </is>
      </c>
      <c r="B16">
        <f>Company!B8</f>
        <v/>
      </c>
      <c r="C16" t="n">
        <v>3</v>
      </c>
      <c r="D16">
        <f>Paths!D$29</f>
        <v/>
      </c>
      <c r="E16">
        <f>IF(Company!$S$8=1,D16*(1+Paths!$E$19)+Paths!$E$20*Paths!$E$21,D16*(1+Company!$M$8))</f>
        <v/>
      </c>
      <c r="F16">
        <f>IF(Company!$U$8="","",Company!$U$8+Paths!D$31*(IF(ISNUMBER(Company!$I$8),Company!$I$8,Company!$U$8)-Company!$U$8))</f>
        <v/>
      </c>
      <c r="G16">
        <f>Company!$T$8*Company!Q$8</f>
        <v/>
      </c>
      <c r="H16">
        <f>IF(F16="",0,E16-F16)</f>
        <v/>
      </c>
      <c r="I16">
        <f>IF(F16="",0,G16*10000*Company!$G$8*H16/100000000)</f>
        <v/>
      </c>
    </row>
    <row r="17">
      <c r="A17" t="inlineStr">
        <is>
          <t>SZ002100</t>
        </is>
      </c>
      <c r="B17">
        <f>Company!B8</f>
        <v/>
      </c>
      <c r="C17" t="n">
        <v>4</v>
      </c>
      <c r="D17">
        <f>Paths!E$29</f>
        <v/>
      </c>
      <c r="E17">
        <f>IF(Company!$S$8=1,D17*(1+Paths!$E$19)+Paths!$E$20*Paths!$E$21,D17*(1+Company!$M$8))</f>
        <v/>
      </c>
      <c r="F17">
        <f>IF(Company!$U$8="","",Company!$U$8+Paths!E$31*(IF(ISNUMBER(Company!$I$8),Company!$I$8,Company!$U$8)-Company!$U$8))</f>
        <v/>
      </c>
      <c r="G17">
        <f>Company!$T$8*Company!R$8</f>
        <v/>
      </c>
      <c r="H17">
        <f>IF(F17="",0,E17-F17)</f>
        <v/>
      </c>
      <c r="I17">
        <f>IF(F17="",0,G17*10000*Company!$G$8*H17/100000000)</f>
        <v/>
      </c>
    </row>
    <row r="18">
      <c r="A18" t="inlineStr">
        <is>
          <t>SZ001201</t>
        </is>
      </c>
      <c r="B18">
        <f>Company!B9</f>
        <v/>
      </c>
      <c r="C18" t="n">
        <v>1</v>
      </c>
      <c r="D18">
        <f>Paths!B$29</f>
        <v/>
      </c>
      <c r="E18">
        <f>IF(Company!$S$9=1,D18*(1+Paths!$E$19)+Paths!$E$20*Paths!$E$21,D18*(1+Company!$M$9))</f>
        <v/>
      </c>
      <c r="F18">
        <f>IF(Company!$U$9="","",Company!$U$9+Paths!B$31*(IF(ISNUMBER(Company!$I$9),Company!$I$9,Company!$U$9)-Company!$U$9))</f>
        <v/>
      </c>
      <c r="G18">
        <f>Company!$T$9*Company!O$9</f>
        <v/>
      </c>
      <c r="H18">
        <f>IF(F18="",0,E18-F18)</f>
        <v/>
      </c>
      <c r="I18">
        <f>IF(F18="",0,G18*10000*Company!$G$9*H18/100000000)</f>
        <v/>
      </c>
    </row>
    <row r="19">
      <c r="A19" t="inlineStr">
        <is>
          <t>SZ001201</t>
        </is>
      </c>
      <c r="B19">
        <f>Company!B9</f>
        <v/>
      </c>
      <c r="C19" t="n">
        <v>2</v>
      </c>
      <c r="D19">
        <f>Paths!C$29</f>
        <v/>
      </c>
      <c r="E19">
        <f>IF(Company!$S$9=1,D19*(1+Paths!$E$19)+Paths!$E$20*Paths!$E$21,D19*(1+Company!$M$9))</f>
        <v/>
      </c>
      <c r="F19">
        <f>IF(Company!$U$9="","",Company!$U$9+Paths!C$31*(IF(ISNUMBER(Company!$I$9),Company!$I$9,Company!$U$9)-Company!$U$9))</f>
        <v/>
      </c>
      <c r="G19">
        <f>Company!$T$9*Company!P$9</f>
        <v/>
      </c>
      <c r="H19">
        <f>IF(F19="",0,E19-F19)</f>
        <v/>
      </c>
      <c r="I19">
        <f>IF(F19="",0,G19*10000*Company!$G$9*H19/100000000)</f>
        <v/>
      </c>
    </row>
    <row r="20">
      <c r="A20" t="inlineStr">
        <is>
          <t>SZ001201</t>
        </is>
      </c>
      <c r="B20">
        <f>Company!B9</f>
        <v/>
      </c>
      <c r="C20" t="n">
        <v>3</v>
      </c>
      <c r="D20">
        <f>Paths!D$29</f>
        <v/>
      </c>
      <c r="E20">
        <f>IF(Company!$S$9=1,D20*(1+Paths!$E$19)+Paths!$E$20*Paths!$E$21,D20*(1+Company!$M$9))</f>
        <v/>
      </c>
      <c r="F20">
        <f>IF(Company!$U$9="","",Company!$U$9+Paths!D$31*(IF(ISNUMBER(Company!$I$9),Company!$I$9,Company!$U$9)-Company!$U$9))</f>
        <v/>
      </c>
      <c r="G20">
        <f>Company!$T$9*Company!Q$9</f>
        <v/>
      </c>
      <c r="H20">
        <f>IF(F20="",0,E20-F20)</f>
        <v/>
      </c>
      <c r="I20">
        <f>IF(F20="",0,G20*10000*Company!$G$9*H20/100000000)</f>
        <v/>
      </c>
    </row>
    <row r="21">
      <c r="A21" t="inlineStr">
        <is>
          <t>SZ001201</t>
        </is>
      </c>
      <c r="B21">
        <f>Company!B9</f>
        <v/>
      </c>
      <c r="C21" t="n">
        <v>4</v>
      </c>
      <c r="D21">
        <f>Paths!E$29</f>
        <v/>
      </c>
      <c r="E21">
        <f>IF(Company!$S$9=1,D21*(1+Paths!$E$19)+Paths!$E$20*Paths!$E$21,D21*(1+Company!$M$9))</f>
        <v/>
      </c>
      <c r="F21">
        <f>IF(Company!$U$9="","",Company!$U$9+Paths!E$31*(IF(ISNUMBER(Company!$I$9),Company!$I$9,Company!$U$9)-Company!$U$9))</f>
        <v/>
      </c>
      <c r="G21">
        <f>Company!$T$9*Company!R$9</f>
        <v/>
      </c>
      <c r="H21">
        <f>IF(F21="",0,E21-F21)</f>
        <v/>
      </c>
      <c r="I21">
        <f>IF(F21="",0,G21*10000*Company!$G$9*H21/100000000)</f>
        <v/>
      </c>
    </row>
    <row r="22">
      <c r="A22" t="inlineStr">
        <is>
          <t>SZ000048</t>
        </is>
      </c>
      <c r="B22">
        <f>Company!B10</f>
        <v/>
      </c>
      <c r="C22" t="n">
        <v>1</v>
      </c>
      <c r="D22">
        <f>Paths!B$29</f>
        <v/>
      </c>
      <c r="E22">
        <f>IF(Company!$S$10=1,D22*(1+Paths!$E$19)+Paths!$E$20*Paths!$E$21,D22*(1+Company!$M$10))</f>
        <v/>
      </c>
      <c r="F22">
        <f>IF(Company!$U$10="","",Company!$U$10+Paths!B$31*(IF(ISNUMBER(Company!$I$10),Company!$I$10,Company!$U$10)-Company!$U$10))</f>
        <v/>
      </c>
      <c r="G22">
        <f>Company!$T$10*Company!O$10</f>
        <v/>
      </c>
      <c r="H22">
        <f>IF(F22="",0,E22-F22)</f>
        <v/>
      </c>
      <c r="I22">
        <f>IF(F22="",0,G22*10000*Company!$G$10*H22/100000000)</f>
        <v/>
      </c>
    </row>
    <row r="23">
      <c r="A23" t="inlineStr">
        <is>
          <t>SZ000048</t>
        </is>
      </c>
      <c r="B23">
        <f>Company!B10</f>
        <v/>
      </c>
      <c r="C23" t="n">
        <v>2</v>
      </c>
      <c r="D23">
        <f>Paths!C$29</f>
        <v/>
      </c>
      <c r="E23">
        <f>IF(Company!$S$10=1,D23*(1+Paths!$E$19)+Paths!$E$20*Paths!$E$21,D23*(1+Company!$M$10))</f>
        <v/>
      </c>
      <c r="F23">
        <f>IF(Company!$U$10="","",Company!$U$10+Paths!C$31*(IF(ISNUMBER(Company!$I$10),Company!$I$10,Company!$U$10)-Company!$U$10))</f>
        <v/>
      </c>
      <c r="G23">
        <f>Company!$T$10*Company!P$10</f>
        <v/>
      </c>
      <c r="H23">
        <f>IF(F23="",0,E23-F23)</f>
        <v/>
      </c>
      <c r="I23">
        <f>IF(F23="",0,G23*10000*Company!$G$10*H23/100000000)</f>
        <v/>
      </c>
    </row>
    <row r="24">
      <c r="A24" t="inlineStr">
        <is>
          <t>SZ000048</t>
        </is>
      </c>
      <c r="B24">
        <f>Company!B10</f>
        <v/>
      </c>
      <c r="C24" t="n">
        <v>3</v>
      </c>
      <c r="D24">
        <f>Paths!D$29</f>
        <v/>
      </c>
      <c r="E24">
        <f>IF(Company!$S$10=1,D24*(1+Paths!$E$19)+Paths!$E$20*Paths!$E$21,D24*(1+Company!$M$10))</f>
        <v/>
      </c>
      <c r="F24">
        <f>IF(Company!$U$10="","",Company!$U$10+Paths!D$31*(IF(ISNUMBER(Company!$I$10),Company!$I$10,Company!$U$10)-Company!$U$10))</f>
        <v/>
      </c>
      <c r="G24">
        <f>Company!$T$10*Company!Q$10</f>
        <v/>
      </c>
      <c r="H24">
        <f>IF(F24="",0,E24-F24)</f>
        <v/>
      </c>
      <c r="I24">
        <f>IF(F24="",0,G24*10000*Company!$G$10*H24/100000000)</f>
        <v/>
      </c>
    </row>
    <row r="25">
      <c r="A25" t="inlineStr">
        <is>
          <t>SZ000048</t>
        </is>
      </c>
      <c r="B25">
        <f>Company!B10</f>
        <v/>
      </c>
      <c r="C25" t="n">
        <v>4</v>
      </c>
      <c r="D25">
        <f>Paths!E$29</f>
        <v/>
      </c>
      <c r="E25">
        <f>IF(Company!$S$10=1,D25*(1+Paths!$E$19)+Paths!$E$20*Paths!$E$21,D25*(1+Company!$M$10))</f>
        <v/>
      </c>
      <c r="F25">
        <f>IF(Company!$U$10="","",Company!$U$10+Paths!E$31*(IF(ISNUMBER(Company!$I$10),Company!$I$10,Company!$U$10)-Company!$U$10))</f>
        <v/>
      </c>
      <c r="G25">
        <f>Company!$T$10*Company!R$10</f>
        <v/>
      </c>
      <c r="H25">
        <f>IF(F25="",0,E25-F25)</f>
        <v/>
      </c>
      <c r="I25">
        <f>IF(F25="",0,G25*10000*Company!$G$10*H25/100000000)</f>
        <v/>
      </c>
    </row>
    <row r="26">
      <c r="A26" t="inlineStr">
        <is>
          <t>SH605296</t>
        </is>
      </c>
      <c r="B26">
        <f>Company!B11</f>
        <v/>
      </c>
      <c r="C26" t="n">
        <v>1</v>
      </c>
      <c r="D26">
        <f>Paths!B$29</f>
        <v/>
      </c>
      <c r="E26">
        <f>IF(Company!$S$11=1,D26*(1+Paths!$E$19)+Paths!$E$20*Paths!$E$21,D26*(1+Company!$M$11))</f>
        <v/>
      </c>
      <c r="F26">
        <f>IF(Company!$U$11="","",Company!$U$11+Paths!B$31*(IF(ISNUMBER(Company!$I$11),Company!$I$11,Company!$U$11)-Company!$U$11))</f>
        <v/>
      </c>
      <c r="G26">
        <f>Company!$T$11*Company!O$11</f>
        <v/>
      </c>
      <c r="H26">
        <f>IF(F26="",0,E26-F26)</f>
        <v/>
      </c>
      <c r="I26">
        <f>IF(F26="",0,G26*10000*Company!$G$11*H26/100000000)</f>
        <v/>
      </c>
    </row>
    <row r="27">
      <c r="A27" t="inlineStr">
        <is>
          <t>SH605296</t>
        </is>
      </c>
      <c r="B27">
        <f>Company!B11</f>
        <v/>
      </c>
      <c r="C27" t="n">
        <v>2</v>
      </c>
      <c r="D27">
        <f>Paths!C$29</f>
        <v/>
      </c>
      <c r="E27">
        <f>IF(Company!$S$11=1,D27*(1+Paths!$E$19)+Paths!$E$20*Paths!$E$21,D27*(1+Company!$M$11))</f>
        <v/>
      </c>
      <c r="F27">
        <f>IF(Company!$U$11="","",Company!$U$11+Paths!C$31*(IF(ISNUMBER(Company!$I$11),Company!$I$11,Company!$U$11)-Company!$U$11))</f>
        <v/>
      </c>
      <c r="G27">
        <f>Company!$T$11*Company!P$11</f>
        <v/>
      </c>
      <c r="H27">
        <f>IF(F27="",0,E27-F27)</f>
        <v/>
      </c>
      <c r="I27">
        <f>IF(F27="",0,G27*10000*Company!$G$11*H27/100000000)</f>
        <v/>
      </c>
    </row>
    <row r="28">
      <c r="A28" t="inlineStr">
        <is>
          <t>SH605296</t>
        </is>
      </c>
      <c r="B28">
        <f>Company!B11</f>
        <v/>
      </c>
      <c r="C28" t="n">
        <v>3</v>
      </c>
      <c r="D28">
        <f>Paths!D$29</f>
        <v/>
      </c>
      <c r="E28">
        <f>IF(Company!$S$11=1,D28*(1+Paths!$E$19)+Paths!$E$20*Paths!$E$21,D28*(1+Company!$M$11))</f>
        <v/>
      </c>
      <c r="F28">
        <f>IF(Company!$U$11="","",Company!$U$11+Paths!D$31*(IF(ISNUMBER(Company!$I$11),Company!$I$11,Company!$U$11)-Company!$U$11))</f>
        <v/>
      </c>
      <c r="G28">
        <f>Company!$T$11*Company!Q$11</f>
        <v/>
      </c>
      <c r="H28">
        <f>IF(F28="",0,E28-F28)</f>
        <v/>
      </c>
      <c r="I28">
        <f>IF(F28="",0,G28*10000*Company!$G$11*H28/100000000)</f>
        <v/>
      </c>
    </row>
    <row r="29">
      <c r="A29" t="inlineStr">
        <is>
          <t>SH605296</t>
        </is>
      </c>
      <c r="B29">
        <f>Company!B11</f>
        <v/>
      </c>
      <c r="C29" t="n">
        <v>4</v>
      </c>
      <c r="D29">
        <f>Paths!E$29</f>
        <v/>
      </c>
      <c r="E29">
        <f>IF(Company!$S$11=1,D29*(1+Paths!$E$19)+Paths!$E$20*Paths!$E$21,D29*(1+Company!$M$11))</f>
        <v/>
      </c>
      <c r="F29">
        <f>IF(Company!$U$11="","",Company!$U$11+Paths!E$31*(IF(ISNUMBER(Company!$I$11),Company!$I$11,Company!$U$11)-Company!$U$11))</f>
        <v/>
      </c>
      <c r="G29">
        <f>Company!$T$11*Company!R$11</f>
        <v/>
      </c>
      <c r="H29">
        <f>IF(F29="",0,E29-F29)</f>
        <v/>
      </c>
      <c r="I29">
        <f>IF(F29="",0,G29*10000*Company!$G$11*H29/100000000)</f>
        <v/>
      </c>
    </row>
    <row r="30">
      <c r="A30" t="inlineStr">
        <is>
          <t>SH603477</t>
        </is>
      </c>
      <c r="B30">
        <f>Company!B12</f>
        <v/>
      </c>
      <c r="C30" t="n">
        <v>1</v>
      </c>
      <c r="D30">
        <f>Paths!B$29</f>
        <v/>
      </c>
      <c r="E30">
        <f>IF(Company!$S$12=1,D30*(1+Paths!$E$19)+Paths!$E$20*Paths!$E$21,D30*(1+Company!$M$12))</f>
        <v/>
      </c>
      <c r="F30">
        <f>IF(Company!$U$12="","",Company!$U$12+Paths!B$31*(IF(ISNUMBER(Company!$I$12),Company!$I$12,Company!$U$12)-Company!$U$12))</f>
        <v/>
      </c>
      <c r="G30">
        <f>Company!$T$12*Company!O$12</f>
        <v/>
      </c>
      <c r="H30">
        <f>IF(F30="",0,E30-F30)</f>
        <v/>
      </c>
      <c r="I30">
        <f>IF(F30="",0,G30*10000*Company!$G$12*H30/100000000)</f>
        <v/>
      </c>
    </row>
    <row r="31">
      <c r="A31" t="inlineStr">
        <is>
          <t>SH603477</t>
        </is>
      </c>
      <c r="B31">
        <f>Company!B12</f>
        <v/>
      </c>
      <c r="C31" t="n">
        <v>2</v>
      </c>
      <c r="D31">
        <f>Paths!C$29</f>
        <v/>
      </c>
      <c r="E31">
        <f>IF(Company!$S$12=1,D31*(1+Paths!$E$19)+Paths!$E$20*Paths!$E$21,D31*(1+Company!$M$12))</f>
        <v/>
      </c>
      <c r="F31">
        <f>IF(Company!$U$12="","",Company!$U$12+Paths!C$31*(IF(ISNUMBER(Company!$I$12),Company!$I$12,Company!$U$12)-Company!$U$12))</f>
        <v/>
      </c>
      <c r="G31">
        <f>Company!$T$12*Company!P$12</f>
        <v/>
      </c>
      <c r="H31">
        <f>IF(F31="",0,E31-F31)</f>
        <v/>
      </c>
      <c r="I31">
        <f>IF(F31="",0,G31*10000*Company!$G$12*H31/100000000)</f>
        <v/>
      </c>
    </row>
    <row r="32">
      <c r="A32" t="inlineStr">
        <is>
          <t>SH603477</t>
        </is>
      </c>
      <c r="B32">
        <f>Company!B12</f>
        <v/>
      </c>
      <c r="C32" t="n">
        <v>3</v>
      </c>
      <c r="D32">
        <f>Paths!D$29</f>
        <v/>
      </c>
      <c r="E32">
        <f>IF(Company!$S$12=1,D32*(1+Paths!$E$19)+Paths!$E$20*Paths!$E$21,D32*(1+Company!$M$12))</f>
        <v/>
      </c>
      <c r="F32">
        <f>IF(Company!$U$12="","",Company!$U$12+Paths!D$31*(IF(ISNUMBER(Company!$I$12),Company!$I$12,Company!$U$12)-Company!$U$12))</f>
        <v/>
      </c>
      <c r="G32">
        <f>Company!$T$12*Company!Q$12</f>
        <v/>
      </c>
      <c r="H32">
        <f>IF(F32="",0,E32-F32)</f>
        <v/>
      </c>
      <c r="I32">
        <f>IF(F32="",0,G32*10000*Company!$G$12*H32/100000000)</f>
        <v/>
      </c>
    </row>
    <row r="33">
      <c r="A33" t="inlineStr">
        <is>
          <t>SH603477</t>
        </is>
      </c>
      <c r="B33">
        <f>Company!B12</f>
        <v/>
      </c>
      <c r="C33" t="n">
        <v>4</v>
      </c>
      <c r="D33">
        <f>Paths!E$29</f>
        <v/>
      </c>
      <c r="E33">
        <f>IF(Company!$S$12=1,D33*(1+Paths!$E$19)+Paths!$E$20*Paths!$E$21,D33*(1+Company!$M$12))</f>
        <v/>
      </c>
      <c r="F33">
        <f>IF(Company!$U$12="","",Company!$U$12+Paths!E$31*(IF(ISNUMBER(Company!$I$12),Company!$I$12,Company!$U$12)-Company!$U$12))</f>
        <v/>
      </c>
      <c r="G33">
        <f>Company!$T$12*Company!R$12</f>
        <v/>
      </c>
      <c r="H33">
        <f>IF(F33="",0,E33-F33)</f>
        <v/>
      </c>
      <c r="I33">
        <f>IF(F33="",0,G33*10000*Company!$G$12*H33/100000000)</f>
        <v/>
      </c>
    </row>
    <row r="34">
      <c r="A34" t="inlineStr">
        <is>
          <t>SZ002567</t>
        </is>
      </c>
      <c r="B34">
        <f>Company!B13</f>
        <v/>
      </c>
      <c r="C34" t="n">
        <v>1</v>
      </c>
      <c r="D34">
        <f>Paths!B$29</f>
        <v/>
      </c>
      <c r="E34">
        <f>IF(Company!$S$13=1,D34*(1+Paths!$E$19)+Paths!$E$20*Paths!$E$21,D34*(1+Company!$M$13))</f>
        <v/>
      </c>
      <c r="F34">
        <f>IF(Company!$U$13="","",Company!$U$13+Paths!B$31*(IF(ISNUMBER(Company!$I$13),Company!$I$13,Company!$U$13)-Company!$U$13))</f>
        <v/>
      </c>
      <c r="G34">
        <f>Company!$T$13*Company!O$13</f>
        <v/>
      </c>
      <c r="H34">
        <f>IF(F34="",0,E34-F34)</f>
        <v/>
      </c>
      <c r="I34">
        <f>IF(F34="",0,G34*10000*Company!$G$13*H34/100000000)</f>
        <v/>
      </c>
    </row>
    <row r="35">
      <c r="A35" t="inlineStr">
        <is>
          <t>SZ002567</t>
        </is>
      </c>
      <c r="B35">
        <f>Company!B13</f>
        <v/>
      </c>
      <c r="C35" t="n">
        <v>2</v>
      </c>
      <c r="D35">
        <f>Paths!C$29</f>
        <v/>
      </c>
      <c r="E35">
        <f>IF(Company!$S$13=1,D35*(1+Paths!$E$19)+Paths!$E$20*Paths!$E$21,D35*(1+Company!$M$13))</f>
        <v/>
      </c>
      <c r="F35">
        <f>IF(Company!$U$13="","",Company!$U$13+Paths!C$31*(IF(ISNUMBER(Company!$I$13),Company!$I$13,Company!$U$13)-Company!$U$13))</f>
        <v/>
      </c>
      <c r="G35">
        <f>Company!$T$13*Company!P$13</f>
        <v/>
      </c>
      <c r="H35">
        <f>IF(F35="",0,E35-F35)</f>
        <v/>
      </c>
      <c r="I35">
        <f>IF(F35="",0,G35*10000*Company!$G$13*H35/100000000)</f>
        <v/>
      </c>
    </row>
    <row r="36">
      <c r="A36" t="inlineStr">
        <is>
          <t>SZ002567</t>
        </is>
      </c>
      <c r="B36">
        <f>Company!B13</f>
        <v/>
      </c>
      <c r="C36" t="n">
        <v>3</v>
      </c>
      <c r="D36">
        <f>Paths!D$29</f>
        <v/>
      </c>
      <c r="E36">
        <f>IF(Company!$S$13=1,D36*(1+Paths!$E$19)+Paths!$E$20*Paths!$E$21,D36*(1+Company!$M$13))</f>
        <v/>
      </c>
      <c r="F36">
        <f>IF(Company!$U$13="","",Company!$U$13+Paths!D$31*(IF(ISNUMBER(Company!$I$13),Company!$I$13,Company!$U$13)-Company!$U$13))</f>
        <v/>
      </c>
      <c r="G36">
        <f>Company!$T$13*Company!Q$13</f>
        <v/>
      </c>
      <c r="H36">
        <f>IF(F36="",0,E36-F36)</f>
        <v/>
      </c>
      <c r="I36">
        <f>IF(F36="",0,G36*10000*Company!$G$13*H36/100000000)</f>
        <v/>
      </c>
    </row>
    <row r="37">
      <c r="A37" t="inlineStr">
        <is>
          <t>SZ002567</t>
        </is>
      </c>
      <c r="B37">
        <f>Company!B13</f>
        <v/>
      </c>
      <c r="C37" t="n">
        <v>4</v>
      </c>
      <c r="D37">
        <f>Paths!E$29</f>
        <v/>
      </c>
      <c r="E37">
        <f>IF(Company!$S$13=1,D37*(1+Paths!$E$19)+Paths!$E$20*Paths!$E$21,D37*(1+Company!$M$13))</f>
        <v/>
      </c>
      <c r="F37">
        <f>IF(Company!$U$13="","",Company!$U$13+Paths!E$31*(IF(ISNUMBER(Company!$I$13),Company!$I$13,Company!$U$13)-Company!$U$13))</f>
        <v/>
      </c>
      <c r="G37">
        <f>Company!$T$13*Company!R$13</f>
        <v/>
      </c>
      <c r="H37">
        <f>IF(F37="",0,E37-F37)</f>
        <v/>
      </c>
      <c r="I37">
        <f>IF(F37="",0,G37*10000*Company!$G$13*H37/100000000)</f>
        <v/>
      </c>
    </row>
    <row r="38">
      <c r="A38" t="inlineStr">
        <is>
          <t>SZ002385</t>
        </is>
      </c>
      <c r="B38">
        <f>Company!B14</f>
        <v/>
      </c>
      <c r="C38" t="n">
        <v>1</v>
      </c>
      <c r="D38">
        <f>Paths!B$29</f>
        <v/>
      </c>
      <c r="E38">
        <f>IF(Company!$S$14=1,D38*(1+Paths!$E$19)+Paths!$E$20*Paths!$E$21,D38*(1+Company!$M$14))</f>
        <v/>
      </c>
      <c r="F38">
        <f>IF(Company!$U$14="","",Company!$U$14+Paths!B$31*(IF(ISNUMBER(Company!$I$14),Company!$I$14,Company!$U$14)-Company!$U$14))</f>
        <v/>
      </c>
      <c r="G38">
        <f>Company!$T$14*Company!O$14</f>
        <v/>
      </c>
      <c r="H38">
        <f>IF(F38="",0,E38-F38)</f>
        <v/>
      </c>
      <c r="I38">
        <f>IF(F38="",0,G38*10000*Company!$G$14*H38/100000000)</f>
        <v/>
      </c>
    </row>
    <row r="39">
      <c r="A39" t="inlineStr">
        <is>
          <t>SZ002385</t>
        </is>
      </c>
      <c r="B39">
        <f>Company!B14</f>
        <v/>
      </c>
      <c r="C39" t="n">
        <v>2</v>
      </c>
      <c r="D39">
        <f>Paths!C$29</f>
        <v/>
      </c>
      <c r="E39">
        <f>IF(Company!$S$14=1,D39*(1+Paths!$E$19)+Paths!$E$20*Paths!$E$21,D39*(1+Company!$M$14))</f>
        <v/>
      </c>
      <c r="F39">
        <f>IF(Company!$U$14="","",Company!$U$14+Paths!C$31*(IF(ISNUMBER(Company!$I$14),Company!$I$14,Company!$U$14)-Company!$U$14))</f>
        <v/>
      </c>
      <c r="G39">
        <f>Company!$T$14*Company!P$14</f>
        <v/>
      </c>
      <c r="H39">
        <f>IF(F39="",0,E39-F39)</f>
        <v/>
      </c>
      <c r="I39">
        <f>IF(F39="",0,G39*10000*Company!$G$14*H39/100000000)</f>
        <v/>
      </c>
    </row>
    <row r="40">
      <c r="A40" t="inlineStr">
        <is>
          <t>SZ002385</t>
        </is>
      </c>
      <c r="B40">
        <f>Company!B14</f>
        <v/>
      </c>
      <c r="C40" t="n">
        <v>3</v>
      </c>
      <c r="D40">
        <f>Paths!D$29</f>
        <v/>
      </c>
      <c r="E40">
        <f>IF(Company!$S$14=1,D40*(1+Paths!$E$19)+Paths!$E$20*Paths!$E$21,D40*(1+Company!$M$14))</f>
        <v/>
      </c>
      <c r="F40">
        <f>IF(Company!$U$14="","",Company!$U$14+Paths!D$31*(IF(ISNUMBER(Company!$I$14),Company!$I$14,Company!$U$14)-Company!$U$14))</f>
        <v/>
      </c>
      <c r="G40">
        <f>Company!$T$14*Company!Q$14</f>
        <v/>
      </c>
      <c r="H40">
        <f>IF(F40="",0,E40-F40)</f>
        <v/>
      </c>
      <c r="I40">
        <f>IF(F40="",0,G40*10000*Company!$G$14*H40/100000000)</f>
        <v/>
      </c>
    </row>
    <row r="41">
      <c r="A41" t="inlineStr">
        <is>
          <t>SZ002385</t>
        </is>
      </c>
      <c r="B41">
        <f>Company!B14</f>
        <v/>
      </c>
      <c r="C41" t="n">
        <v>4</v>
      </c>
      <c r="D41">
        <f>Paths!E$29</f>
        <v/>
      </c>
      <c r="E41">
        <f>IF(Company!$S$14=1,D41*(1+Paths!$E$19)+Paths!$E$20*Paths!$E$21,D41*(1+Company!$M$14))</f>
        <v/>
      </c>
      <c r="F41">
        <f>IF(Company!$U$14="","",Company!$U$14+Paths!E$31*(IF(ISNUMBER(Company!$I$14),Company!$I$14,Company!$U$14)-Company!$U$14))</f>
        <v/>
      </c>
      <c r="G41">
        <f>Company!$T$14*Company!R$14</f>
        <v/>
      </c>
      <c r="H41">
        <f>IF(F41="",0,E41-F41)</f>
        <v/>
      </c>
      <c r="I41">
        <f>IF(F41="",0,G41*10000*Company!$G$14*H41/100000000)</f>
        <v/>
      </c>
    </row>
    <row r="42">
      <c r="A42" t="inlineStr">
        <is>
          <t>SH603363</t>
        </is>
      </c>
      <c r="B42">
        <f>Company!B15</f>
        <v/>
      </c>
      <c r="C42" t="n">
        <v>1</v>
      </c>
      <c r="D42">
        <f>Paths!B$29</f>
        <v/>
      </c>
      <c r="E42">
        <f>IF(Company!$S$15=1,D42*(1+Paths!$E$19)+Paths!$E$20*Paths!$E$21,D42*(1+Company!$M$15))</f>
        <v/>
      </c>
      <c r="F42">
        <f>IF(Company!$U$15="","",Company!$U$15+Paths!B$31*(IF(ISNUMBER(Company!$I$15),Company!$I$15,Company!$U$15)-Company!$U$15))</f>
        <v/>
      </c>
      <c r="G42">
        <f>Company!$T$15*Company!O$15</f>
        <v/>
      </c>
      <c r="H42">
        <f>IF(F42="",0,E42-F42)</f>
        <v/>
      </c>
      <c r="I42">
        <f>IF(F42="",0,G42*10000*Company!$G$15*H42/100000000)</f>
        <v/>
      </c>
    </row>
    <row r="43">
      <c r="A43" t="inlineStr">
        <is>
          <t>SH603363</t>
        </is>
      </c>
      <c r="B43">
        <f>Company!B15</f>
        <v/>
      </c>
      <c r="C43" t="n">
        <v>2</v>
      </c>
      <c r="D43">
        <f>Paths!C$29</f>
        <v/>
      </c>
      <c r="E43">
        <f>IF(Company!$S$15=1,D43*(1+Paths!$E$19)+Paths!$E$20*Paths!$E$21,D43*(1+Company!$M$15))</f>
        <v/>
      </c>
      <c r="F43">
        <f>IF(Company!$U$15="","",Company!$U$15+Paths!C$31*(IF(ISNUMBER(Company!$I$15),Company!$I$15,Company!$U$15)-Company!$U$15))</f>
        <v/>
      </c>
      <c r="G43">
        <f>Company!$T$15*Company!P$15</f>
        <v/>
      </c>
      <c r="H43">
        <f>IF(F43="",0,E43-F43)</f>
        <v/>
      </c>
      <c r="I43">
        <f>IF(F43="",0,G43*10000*Company!$G$15*H43/100000000)</f>
        <v/>
      </c>
    </row>
    <row r="44">
      <c r="A44" t="inlineStr">
        <is>
          <t>SH603363</t>
        </is>
      </c>
      <c r="B44">
        <f>Company!B15</f>
        <v/>
      </c>
      <c r="C44" t="n">
        <v>3</v>
      </c>
      <c r="D44">
        <f>Paths!D$29</f>
        <v/>
      </c>
      <c r="E44">
        <f>IF(Company!$S$15=1,D44*(1+Paths!$E$19)+Paths!$E$20*Paths!$E$21,D44*(1+Company!$M$15))</f>
        <v/>
      </c>
      <c r="F44">
        <f>IF(Company!$U$15="","",Company!$U$15+Paths!D$31*(IF(ISNUMBER(Company!$I$15),Company!$I$15,Company!$U$15)-Company!$U$15))</f>
        <v/>
      </c>
      <c r="G44">
        <f>Company!$T$15*Company!Q$15</f>
        <v/>
      </c>
      <c r="H44">
        <f>IF(F44="",0,E44-F44)</f>
        <v/>
      </c>
      <c r="I44">
        <f>IF(F44="",0,G44*10000*Company!$G$15*H44/100000000)</f>
        <v/>
      </c>
    </row>
    <row r="45">
      <c r="A45" t="inlineStr">
        <is>
          <t>SH603363</t>
        </is>
      </c>
      <c r="B45">
        <f>Company!B15</f>
        <v/>
      </c>
      <c r="C45" t="n">
        <v>4</v>
      </c>
      <c r="D45">
        <f>Paths!E$29</f>
        <v/>
      </c>
      <c r="E45">
        <f>IF(Company!$S$15=1,D45*(1+Paths!$E$19)+Paths!$E$20*Paths!$E$21,D45*(1+Company!$M$15))</f>
        <v/>
      </c>
      <c r="F45">
        <f>IF(Company!$U$15="","",Company!$U$15+Paths!E$31*(IF(ISNUMBER(Company!$I$15),Company!$I$15,Company!$U$15)-Company!$U$15))</f>
        <v/>
      </c>
      <c r="G45">
        <f>Company!$T$15*Company!R$15</f>
        <v/>
      </c>
      <c r="H45">
        <f>IF(F45="",0,E45-F45)</f>
        <v/>
      </c>
      <c r="I45">
        <f>IF(F45="",0,G45*10000*Company!$G$15*H45/100000000)</f>
        <v/>
      </c>
    </row>
    <row r="46">
      <c r="A46" t="inlineStr">
        <is>
          <t>SZ002124</t>
        </is>
      </c>
      <c r="B46">
        <f>Company!B16</f>
        <v/>
      </c>
      <c r="C46" t="n">
        <v>1</v>
      </c>
      <c r="D46">
        <f>Paths!B$29</f>
        <v/>
      </c>
      <c r="E46">
        <f>IF(Company!$S$16=1,D46*(1+Paths!$E$19)+Paths!$E$20*Paths!$E$21,D46*(1+Company!$M$16))</f>
        <v/>
      </c>
      <c r="F46">
        <f>IF(Company!$U$16="","",Company!$U$16+Paths!B$31*(IF(ISNUMBER(Company!$I$16),Company!$I$16,Company!$U$16)-Company!$U$16))</f>
        <v/>
      </c>
      <c r="G46">
        <f>Company!$T$16*Company!O$16</f>
        <v/>
      </c>
      <c r="H46">
        <f>IF(F46="",0,E46-F46)</f>
        <v/>
      </c>
      <c r="I46">
        <f>IF(F46="",0,G46*10000*Company!$G$16*H46/100000000)</f>
        <v/>
      </c>
    </row>
    <row r="47">
      <c r="A47" t="inlineStr">
        <is>
          <t>SZ002124</t>
        </is>
      </c>
      <c r="B47">
        <f>Company!B16</f>
        <v/>
      </c>
      <c r="C47" t="n">
        <v>2</v>
      </c>
      <c r="D47">
        <f>Paths!C$29</f>
        <v/>
      </c>
      <c r="E47">
        <f>IF(Company!$S$16=1,D47*(1+Paths!$E$19)+Paths!$E$20*Paths!$E$21,D47*(1+Company!$M$16))</f>
        <v/>
      </c>
      <c r="F47">
        <f>IF(Company!$U$16="","",Company!$U$16+Paths!C$31*(IF(ISNUMBER(Company!$I$16),Company!$I$16,Company!$U$16)-Company!$U$16))</f>
        <v/>
      </c>
      <c r="G47">
        <f>Company!$T$16*Company!P$16</f>
        <v/>
      </c>
      <c r="H47">
        <f>IF(F47="",0,E47-F47)</f>
        <v/>
      </c>
      <c r="I47">
        <f>IF(F47="",0,G47*10000*Company!$G$16*H47/100000000)</f>
        <v/>
      </c>
    </row>
    <row r="48">
      <c r="A48" t="inlineStr">
        <is>
          <t>SZ002124</t>
        </is>
      </c>
      <c r="B48">
        <f>Company!B16</f>
        <v/>
      </c>
      <c r="C48" t="n">
        <v>3</v>
      </c>
      <c r="D48">
        <f>Paths!D$29</f>
        <v/>
      </c>
      <c r="E48">
        <f>IF(Company!$S$16=1,D48*(1+Paths!$E$19)+Paths!$E$20*Paths!$E$21,D48*(1+Company!$M$16))</f>
        <v/>
      </c>
      <c r="F48">
        <f>IF(Company!$U$16="","",Company!$U$16+Paths!D$31*(IF(ISNUMBER(Company!$I$16),Company!$I$16,Company!$U$16)-Company!$U$16))</f>
        <v/>
      </c>
      <c r="G48">
        <f>Company!$T$16*Company!Q$16</f>
        <v/>
      </c>
      <c r="H48">
        <f>IF(F48="",0,E48-F48)</f>
        <v/>
      </c>
      <c r="I48">
        <f>IF(F48="",0,G48*10000*Company!$G$16*H48/100000000)</f>
        <v/>
      </c>
    </row>
    <row r="49">
      <c r="A49" t="inlineStr">
        <is>
          <t>SZ002124</t>
        </is>
      </c>
      <c r="B49">
        <f>Company!B16</f>
        <v/>
      </c>
      <c r="C49" t="n">
        <v>4</v>
      </c>
      <c r="D49">
        <f>Paths!E$29</f>
        <v/>
      </c>
      <c r="E49">
        <f>IF(Company!$S$16=1,D49*(1+Paths!$E$19)+Paths!$E$20*Paths!$E$21,D49*(1+Company!$M$16))</f>
        <v/>
      </c>
      <c r="F49">
        <f>IF(Company!$U$16="","",Company!$U$16+Paths!E$31*(IF(ISNUMBER(Company!$I$16),Company!$I$16,Company!$U$16)-Company!$U$16))</f>
        <v/>
      </c>
      <c r="G49">
        <f>Company!$T$16*Company!R$16</f>
        <v/>
      </c>
      <c r="H49">
        <f>IF(F49="",0,E49-F49)</f>
        <v/>
      </c>
      <c r="I49">
        <f>IF(F49="",0,G49*10000*Company!$G$16*H49/100000000)</f>
        <v/>
      </c>
    </row>
    <row r="50">
      <c r="A50" t="inlineStr">
        <is>
          <t>SZ002548</t>
        </is>
      </c>
      <c r="B50">
        <f>Company!B17</f>
        <v/>
      </c>
      <c r="C50" t="n">
        <v>1</v>
      </c>
      <c r="D50">
        <f>Paths!B$29</f>
        <v/>
      </c>
      <c r="E50">
        <f>IF(Company!$S$17=1,D50*(1+Paths!$E$19)+Paths!$E$20*Paths!$E$21,D50*(1+Company!$M$17))</f>
        <v/>
      </c>
      <c r="F50">
        <f>IF(Company!$U$17="","",Company!$U$17+Paths!B$31*(IF(ISNUMBER(Company!$I$17),Company!$I$17,Company!$U$17)-Company!$U$17))</f>
        <v/>
      </c>
      <c r="G50">
        <f>Company!$T$17*Company!O$17</f>
        <v/>
      </c>
      <c r="H50">
        <f>IF(F50="",0,E50-F50)</f>
        <v/>
      </c>
      <c r="I50">
        <f>IF(F50="",0,G50*10000*Company!$G$17*H50/100000000)</f>
        <v/>
      </c>
    </row>
    <row r="51">
      <c r="A51" t="inlineStr">
        <is>
          <t>SZ002548</t>
        </is>
      </c>
      <c r="B51">
        <f>Company!B17</f>
        <v/>
      </c>
      <c r="C51" t="n">
        <v>2</v>
      </c>
      <c r="D51">
        <f>Paths!C$29</f>
        <v/>
      </c>
      <c r="E51">
        <f>IF(Company!$S$17=1,D51*(1+Paths!$E$19)+Paths!$E$20*Paths!$E$21,D51*(1+Company!$M$17))</f>
        <v/>
      </c>
      <c r="F51">
        <f>IF(Company!$U$17="","",Company!$U$17+Paths!C$31*(IF(ISNUMBER(Company!$I$17),Company!$I$17,Company!$U$17)-Company!$U$17))</f>
        <v/>
      </c>
      <c r="G51">
        <f>Company!$T$17*Company!P$17</f>
        <v/>
      </c>
      <c r="H51">
        <f>IF(F51="",0,E51-F51)</f>
        <v/>
      </c>
      <c r="I51">
        <f>IF(F51="",0,G51*10000*Company!$G$17*H51/100000000)</f>
        <v/>
      </c>
    </row>
    <row r="52">
      <c r="A52" t="inlineStr">
        <is>
          <t>SZ002548</t>
        </is>
      </c>
      <c r="B52">
        <f>Company!B17</f>
        <v/>
      </c>
      <c r="C52" t="n">
        <v>3</v>
      </c>
      <c r="D52">
        <f>Paths!D$29</f>
        <v/>
      </c>
      <c r="E52">
        <f>IF(Company!$S$17=1,D52*(1+Paths!$E$19)+Paths!$E$20*Paths!$E$21,D52*(1+Company!$M$17))</f>
        <v/>
      </c>
      <c r="F52">
        <f>IF(Company!$U$17="","",Company!$U$17+Paths!D$31*(IF(ISNUMBER(Company!$I$17),Company!$I$17,Company!$U$17)-Company!$U$17))</f>
        <v/>
      </c>
      <c r="G52">
        <f>Company!$T$17*Company!Q$17</f>
        <v/>
      </c>
      <c r="H52">
        <f>IF(F52="",0,E52-F52)</f>
        <v/>
      </c>
      <c r="I52">
        <f>IF(F52="",0,G52*10000*Company!$G$17*H52/100000000)</f>
        <v/>
      </c>
    </row>
    <row r="53">
      <c r="A53" t="inlineStr">
        <is>
          <t>SZ002548</t>
        </is>
      </c>
      <c r="B53">
        <f>Company!B17</f>
        <v/>
      </c>
      <c r="C53" t="n">
        <v>4</v>
      </c>
      <c r="D53">
        <f>Paths!E$29</f>
        <v/>
      </c>
      <c r="E53">
        <f>IF(Company!$S$17=1,D53*(1+Paths!$E$19)+Paths!$E$20*Paths!$E$21,D53*(1+Company!$M$17))</f>
        <v/>
      </c>
      <c r="F53">
        <f>IF(Company!$U$17="","",Company!$U$17+Paths!E$31*(IF(ISNUMBER(Company!$I$17),Company!$I$17,Company!$U$17)-Company!$U$17))</f>
        <v/>
      </c>
      <c r="G53">
        <f>Company!$T$17*Company!R$17</f>
        <v/>
      </c>
      <c r="H53">
        <f>IF(F53="",0,E53-F53)</f>
        <v/>
      </c>
      <c r="I53">
        <f>IF(F53="",0,G53*10000*Company!$G$17*H53/100000000)</f>
        <v/>
      </c>
    </row>
    <row r="54">
      <c r="A54" t="inlineStr">
        <is>
          <t>SZ002840</t>
        </is>
      </c>
      <c r="B54">
        <f>Company!B18</f>
        <v/>
      </c>
      <c r="C54" t="n">
        <v>1</v>
      </c>
      <c r="D54">
        <f>Paths!B$29</f>
        <v/>
      </c>
      <c r="E54">
        <f>IF(Company!$S$18=1,D54*(1+Paths!$E$19)+Paths!$E$20*Paths!$E$21,D54*(1+Company!$M$18))</f>
        <v/>
      </c>
      <c r="F54">
        <f>IF(Company!$U$18="","",Company!$U$18+Paths!B$31*(IF(ISNUMBER(Company!$I$18),Company!$I$18,Company!$U$18)-Company!$U$18))</f>
        <v/>
      </c>
      <c r="G54">
        <f>Company!$T$18*Company!O$18</f>
        <v/>
      </c>
      <c r="H54">
        <f>IF(F54="",0,E54-F54)</f>
        <v/>
      </c>
      <c r="I54">
        <f>IF(F54="",0,G54*10000*Company!$G$18*H54/100000000)</f>
        <v/>
      </c>
    </row>
    <row r="55">
      <c r="A55" t="inlineStr">
        <is>
          <t>SZ002840</t>
        </is>
      </c>
      <c r="B55">
        <f>Company!B18</f>
        <v/>
      </c>
      <c r="C55" t="n">
        <v>2</v>
      </c>
      <c r="D55">
        <f>Paths!C$29</f>
        <v/>
      </c>
      <c r="E55">
        <f>IF(Company!$S$18=1,D55*(1+Paths!$E$19)+Paths!$E$20*Paths!$E$21,D55*(1+Company!$M$18))</f>
        <v/>
      </c>
      <c r="F55">
        <f>IF(Company!$U$18="","",Company!$U$18+Paths!C$31*(IF(ISNUMBER(Company!$I$18),Company!$I$18,Company!$U$18)-Company!$U$18))</f>
        <v/>
      </c>
      <c r="G55">
        <f>Company!$T$18*Company!P$18</f>
        <v/>
      </c>
      <c r="H55">
        <f>IF(F55="",0,E55-F55)</f>
        <v/>
      </c>
      <c r="I55">
        <f>IF(F55="",0,G55*10000*Company!$G$18*H55/100000000)</f>
        <v/>
      </c>
    </row>
    <row r="56">
      <c r="A56" t="inlineStr">
        <is>
          <t>SZ002840</t>
        </is>
      </c>
      <c r="B56">
        <f>Company!B18</f>
        <v/>
      </c>
      <c r="C56" t="n">
        <v>3</v>
      </c>
      <c r="D56">
        <f>Paths!D$29</f>
        <v/>
      </c>
      <c r="E56">
        <f>IF(Company!$S$18=1,D56*(1+Paths!$E$19)+Paths!$E$20*Paths!$E$21,D56*(1+Company!$M$18))</f>
        <v/>
      </c>
      <c r="F56">
        <f>IF(Company!$U$18="","",Company!$U$18+Paths!D$31*(IF(ISNUMBER(Company!$I$18),Company!$I$18,Company!$U$18)-Company!$U$18))</f>
        <v/>
      </c>
      <c r="G56">
        <f>Company!$T$18*Company!Q$18</f>
        <v/>
      </c>
      <c r="H56">
        <f>IF(F56="",0,E56-F56)</f>
        <v/>
      </c>
      <c r="I56">
        <f>IF(F56="",0,G56*10000*Company!$G$18*H56/100000000)</f>
        <v/>
      </c>
    </row>
    <row r="57">
      <c r="A57" t="inlineStr">
        <is>
          <t>SZ002840</t>
        </is>
      </c>
      <c r="B57">
        <f>Company!B18</f>
        <v/>
      </c>
      <c r="C57" t="n">
        <v>4</v>
      </c>
      <c r="D57">
        <f>Paths!E$29</f>
        <v/>
      </c>
      <c r="E57">
        <f>IF(Company!$S$18=1,D57*(1+Paths!$E$19)+Paths!$E$20*Paths!$E$21,D57*(1+Company!$M$18))</f>
        <v/>
      </c>
      <c r="F57">
        <f>IF(Company!$U$18="","",Company!$U$18+Paths!E$31*(IF(ISNUMBER(Company!$I$18),Company!$I$18,Company!$U$18)-Company!$U$18))</f>
        <v/>
      </c>
      <c r="G57">
        <f>Company!$T$18*Company!R$18</f>
        <v/>
      </c>
      <c r="H57">
        <f>IF(F57="",0,E57-F57)</f>
        <v/>
      </c>
      <c r="I57">
        <f>IF(F57="",0,G57*10000*Company!$G$18*H57/100000000)</f>
        <v/>
      </c>
    </row>
    <row r="58">
      <c r="A58" t="inlineStr">
        <is>
          <t>SH600975</t>
        </is>
      </c>
      <c r="B58">
        <f>Company!B19</f>
        <v/>
      </c>
      <c r="C58" t="n">
        <v>1</v>
      </c>
      <c r="D58">
        <f>Paths!B$29</f>
        <v/>
      </c>
      <c r="E58">
        <f>IF(Company!$S$19=1,D58*(1+Paths!$E$19)+Paths!$E$20*Paths!$E$21,D58*(1+Company!$M$19))</f>
        <v/>
      </c>
      <c r="F58">
        <f>IF(Company!$U$19="","",Company!$U$19+Paths!B$31*(IF(ISNUMBER(Company!$I$19),Company!$I$19,Company!$U$19)-Company!$U$19))</f>
        <v/>
      </c>
      <c r="G58">
        <f>Company!$T$19*Company!O$19</f>
        <v/>
      </c>
      <c r="H58">
        <f>IF(F58="",0,E58-F58)</f>
        <v/>
      </c>
      <c r="I58">
        <f>IF(F58="",0,G58*10000*Company!$G$19*H58/100000000)</f>
        <v/>
      </c>
    </row>
    <row r="59">
      <c r="A59" t="inlineStr">
        <is>
          <t>SH600975</t>
        </is>
      </c>
      <c r="B59">
        <f>Company!B19</f>
        <v/>
      </c>
      <c r="C59" t="n">
        <v>2</v>
      </c>
      <c r="D59">
        <f>Paths!C$29</f>
        <v/>
      </c>
      <c r="E59">
        <f>IF(Company!$S$19=1,D59*(1+Paths!$E$19)+Paths!$E$20*Paths!$E$21,D59*(1+Company!$M$19))</f>
        <v/>
      </c>
      <c r="F59">
        <f>IF(Company!$U$19="","",Company!$U$19+Paths!C$31*(IF(ISNUMBER(Company!$I$19),Company!$I$19,Company!$U$19)-Company!$U$19))</f>
        <v/>
      </c>
      <c r="G59">
        <f>Company!$T$19*Company!P$19</f>
        <v/>
      </c>
      <c r="H59">
        <f>IF(F59="",0,E59-F59)</f>
        <v/>
      </c>
      <c r="I59">
        <f>IF(F59="",0,G59*10000*Company!$G$19*H59/100000000)</f>
        <v/>
      </c>
    </row>
    <row r="60">
      <c r="A60" t="inlineStr">
        <is>
          <t>SH600975</t>
        </is>
      </c>
      <c r="B60">
        <f>Company!B19</f>
        <v/>
      </c>
      <c r="C60" t="n">
        <v>3</v>
      </c>
      <c r="D60">
        <f>Paths!D$29</f>
        <v/>
      </c>
      <c r="E60">
        <f>IF(Company!$S$19=1,D60*(1+Paths!$E$19)+Paths!$E$20*Paths!$E$21,D60*(1+Company!$M$19))</f>
        <v/>
      </c>
      <c r="F60">
        <f>IF(Company!$U$19="","",Company!$U$19+Paths!D$31*(IF(ISNUMBER(Company!$I$19),Company!$I$19,Company!$U$19)-Company!$U$19))</f>
        <v/>
      </c>
      <c r="G60">
        <f>Company!$T$19*Company!Q$19</f>
        <v/>
      </c>
      <c r="H60">
        <f>IF(F60="",0,E60-F60)</f>
        <v/>
      </c>
      <c r="I60">
        <f>IF(F60="",0,G60*10000*Company!$G$19*H60/100000000)</f>
        <v/>
      </c>
    </row>
    <row r="61">
      <c r="A61" t="inlineStr">
        <is>
          <t>SH600975</t>
        </is>
      </c>
      <c r="B61">
        <f>Company!B19</f>
        <v/>
      </c>
      <c r="C61" t="n">
        <v>4</v>
      </c>
      <c r="D61">
        <f>Paths!E$29</f>
        <v/>
      </c>
      <c r="E61">
        <f>IF(Company!$S$19=1,D61*(1+Paths!$E$19)+Paths!$E$20*Paths!$E$21,D61*(1+Company!$M$19))</f>
        <v/>
      </c>
      <c r="F61">
        <f>IF(Company!$U$19="","",Company!$U$19+Paths!E$31*(IF(ISNUMBER(Company!$I$19),Company!$I$19,Company!$U$19)-Company!$U$19))</f>
        <v/>
      </c>
      <c r="G61">
        <f>Company!$T$19*Company!R$19</f>
        <v/>
      </c>
      <c r="H61">
        <f>IF(F61="",0,E61-F61)</f>
        <v/>
      </c>
      <c r="I61">
        <f>IF(F61="",0,G61*10000*Company!$G$19*H61/100000000)</f>
        <v/>
      </c>
    </row>
    <row r="62">
      <c r="A62" t="inlineStr">
        <is>
          <t>SZ002157</t>
        </is>
      </c>
      <c r="B62">
        <f>Company!B20</f>
        <v/>
      </c>
      <c r="C62" t="n">
        <v>1</v>
      </c>
      <c r="D62">
        <f>Paths!B$29</f>
        <v/>
      </c>
      <c r="E62">
        <f>IF(Company!$S$20=1,D62*(1+Paths!$E$19)+Paths!$E$20*Paths!$E$21,D62*(1+Company!$M$20))</f>
        <v/>
      </c>
      <c r="F62">
        <f>IF(Company!$U$20="","",Company!$U$20+Paths!B$31*(IF(ISNUMBER(Company!$I$20),Company!$I$20,Company!$U$20)-Company!$U$20))</f>
        <v/>
      </c>
      <c r="G62">
        <f>Company!$T$20*Company!O$20</f>
        <v/>
      </c>
      <c r="H62">
        <f>IF(F62="",0,E62-F62)</f>
        <v/>
      </c>
      <c r="I62">
        <f>IF(F62="",0,G62*10000*Company!$G$20*H62/100000000)</f>
        <v/>
      </c>
    </row>
    <row r="63">
      <c r="A63" t="inlineStr">
        <is>
          <t>SZ002157</t>
        </is>
      </c>
      <c r="B63">
        <f>Company!B20</f>
        <v/>
      </c>
      <c r="C63" t="n">
        <v>2</v>
      </c>
      <c r="D63">
        <f>Paths!C$29</f>
        <v/>
      </c>
      <c r="E63">
        <f>IF(Company!$S$20=1,D63*(1+Paths!$E$19)+Paths!$E$20*Paths!$E$21,D63*(1+Company!$M$20))</f>
        <v/>
      </c>
      <c r="F63">
        <f>IF(Company!$U$20="","",Company!$U$20+Paths!C$31*(IF(ISNUMBER(Company!$I$20),Company!$I$20,Company!$U$20)-Company!$U$20))</f>
        <v/>
      </c>
      <c r="G63">
        <f>Company!$T$20*Company!P$20</f>
        <v/>
      </c>
      <c r="H63">
        <f>IF(F63="",0,E63-F63)</f>
        <v/>
      </c>
      <c r="I63">
        <f>IF(F63="",0,G63*10000*Company!$G$20*H63/100000000)</f>
        <v/>
      </c>
    </row>
    <row r="64">
      <c r="A64" t="inlineStr">
        <is>
          <t>SZ002157</t>
        </is>
      </c>
      <c r="B64">
        <f>Company!B20</f>
        <v/>
      </c>
      <c r="C64" t="n">
        <v>3</v>
      </c>
      <c r="D64">
        <f>Paths!D$29</f>
        <v/>
      </c>
      <c r="E64">
        <f>IF(Company!$S$20=1,D64*(1+Paths!$E$19)+Paths!$E$20*Paths!$E$21,D64*(1+Company!$M$20))</f>
        <v/>
      </c>
      <c r="F64">
        <f>IF(Company!$U$20="","",Company!$U$20+Paths!D$31*(IF(ISNUMBER(Company!$I$20),Company!$I$20,Company!$U$20)-Company!$U$20))</f>
        <v/>
      </c>
      <c r="G64">
        <f>Company!$T$20*Company!Q$20</f>
        <v/>
      </c>
      <c r="H64">
        <f>IF(F64="",0,E64-F64)</f>
        <v/>
      </c>
      <c r="I64">
        <f>IF(F64="",0,G64*10000*Company!$G$20*H64/100000000)</f>
        <v/>
      </c>
    </row>
    <row r="65">
      <c r="A65" t="inlineStr">
        <is>
          <t>SZ002157</t>
        </is>
      </c>
      <c r="B65">
        <f>Company!B20</f>
        <v/>
      </c>
      <c r="C65" t="n">
        <v>4</v>
      </c>
      <c r="D65">
        <f>Paths!E$29</f>
        <v/>
      </c>
      <c r="E65">
        <f>IF(Company!$S$20=1,D65*(1+Paths!$E$19)+Paths!$E$20*Paths!$E$21,D65*(1+Company!$M$20))</f>
        <v/>
      </c>
      <c r="F65">
        <f>IF(Company!$U$20="","",Company!$U$20+Paths!E$31*(IF(ISNUMBER(Company!$I$20),Company!$I$20,Company!$U$20)-Company!$U$20))</f>
        <v/>
      </c>
      <c r="G65">
        <f>Company!$T$20*Company!R$20</f>
        <v/>
      </c>
      <c r="H65">
        <f>IF(F65="",0,E65-F65)</f>
        <v/>
      </c>
      <c r="I65">
        <f>IF(F65="",0,G65*10000*Company!$G$20*H65/100000000)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>
        <f>"情景汇总：路径 "&amp;Paths!C12&amp;"，情景 "&amp;CHOOSE(Paths!B13,"熊","基准","牛")</f>
        <v/>
      </c>
    </row>
    <row r="3">
      <c r="A3" s="2" t="inlineStr">
        <is>
          <t>code</t>
        </is>
      </c>
      <c r="B3" s="2" t="inlineStr">
        <is>
          <t>公司</t>
        </is>
      </c>
      <c r="C3" s="2" t="inlineStr">
        <is>
          <t>市值(亿元)</t>
        </is>
      </c>
      <c r="D3" s="2" t="inlineStr">
        <is>
          <t>量加权售价</t>
        </is>
      </c>
      <c r="E3" s="2" t="inlineStr">
        <is>
          <t>2027成本(选定)</t>
        </is>
      </c>
      <c r="F3" s="2" t="inlineStr">
        <is>
          <t>每公斤毛利(量加权)</t>
        </is>
      </c>
      <c r="G3" s="2" t="inlineStr">
        <is>
          <t>养殖利润(亿元)</t>
        </is>
      </c>
      <c r="H3" s="2" t="inlineStr">
        <is>
          <t>仔猪利润(亿元)</t>
        </is>
      </c>
      <c r="I3" s="2" t="inlineStr">
        <is>
          <t>归属比例</t>
        </is>
      </c>
      <c r="J3" s="2" t="inlineStr">
        <is>
          <t>情景归母利润(亿元)</t>
        </is>
      </c>
      <c r="K3" s="2" t="inlineStr">
        <is>
          <t>情景市盈率(倍)</t>
        </is>
      </c>
      <c r="L3" s="2" t="inlineStr">
        <is>
          <t>利润/市值</t>
        </is>
      </c>
      <c r="M3" s="2" t="inlineStr">
        <is>
          <t>成本门槛(市值=8倍利润)</t>
        </is>
      </c>
      <c r="N3" s="2" t="inlineStr">
        <is>
          <t>每1元/kg对应归母利润(亿元)</t>
        </is>
      </c>
      <c r="O3" s="2" t="inlineStr">
        <is>
          <t>占市值</t>
        </is>
      </c>
      <c r="P3" s="2" t="inlineStr">
        <is>
          <t>隐含全国价@10倍</t>
        </is>
      </c>
      <c r="Q3" s="2" t="inlineStr">
        <is>
          <t>隐含全国价@15倍</t>
        </is>
      </c>
      <c r="R3" s="2" t="inlineStr">
        <is>
          <t>18元相对14元的超额利润(亿元)</t>
        </is>
      </c>
      <c r="S3" s="2" t="inlineStr">
        <is>
          <t>占市值</t>
        </is>
      </c>
    </row>
    <row r="4">
      <c r="A4" t="inlineStr">
        <is>
          <t>SZ002714</t>
        </is>
      </c>
      <c r="B4">
        <f>Company!B5</f>
        <v/>
      </c>
      <c r="C4">
        <f>Company!C5</f>
        <v/>
      </c>
      <c r="D4">
        <f>SUMPRODUCT((Quarterly!$A$2:$A$65=A4)*Quarterly!$E$2:$E$65*Quarterly!$G$2:$G$65)/SUMIF(Quarterly!$A$2:$A$65,A4,Quarterly!$G$2:$G$65)</f>
        <v/>
      </c>
      <c r="E4">
        <f>Company!U5</f>
        <v/>
      </c>
      <c r="F4">
        <f>IF(E4="","",SUMPRODUCT((Quarterly!$A$2:$A$65=A4)*Quarterly!$H$2:$H$65*Quarterly!$G$2:$G$65)/SUMIF(Quarterly!$A$2:$A$65,A4,Quarterly!$G$2:$G$65))</f>
        <v/>
      </c>
      <c r="G4">
        <f>IF(E4="","",SUMIF(Quarterly!$A$2:$A$65,A4,Quarterly!$I$2:$I$65))</f>
        <v/>
      </c>
      <c r="H4">
        <f>Company!H5*10000*Paths!$E$16/100000000</f>
        <v/>
      </c>
      <c r="I4">
        <f>Company!N5</f>
        <v/>
      </c>
      <c r="J4">
        <f>IF(G4="","",(G4+H4)*I4)</f>
        <v/>
      </c>
      <c r="K4">
        <f>IF(J4="","",IF(J4&gt;0,C4/J4,"亏损"))</f>
        <v/>
      </c>
      <c r="L4">
        <f>IF(J4="","",J4/C4)</f>
        <v/>
      </c>
      <c r="M4">
        <f>D4-(C4/Paths!$B$27/I4-H4)*100000000/(Company!T5*10000*Company!G5)</f>
        <v/>
      </c>
      <c r="N4">
        <f>Company!E5*10000*Company!G5/100000000*I4</f>
        <v/>
      </c>
      <c r="O4">
        <f>N4/C4</f>
        <v/>
      </c>
      <c r="P4">
        <f>IF(Company!K5="","",IF(Company!S5=1,(Company!K5+(C4/Paths!$B$25/I4-Company!H5*10000*Paths!$C$16/100000000)/(Company!E5*10000*Company!G5/100000000)-Paths!$C$20*Paths!$C$21)/(1+Paths!$C$19),(Company!K5+(C4/Paths!$B$25/I4-Company!H5*10000*Paths!$C$16/100000000)/(Company!E5*10000*Company!G5/100000000))/(1+Company!M5)))</f>
        <v/>
      </c>
      <c r="Q4">
        <f>IF(Company!K5="","",IF(Company!S5=1,(Company!K5+(C4/Paths!$B$26/I4-Company!H5*10000*Paths!$C$16/100000000)/(Company!E5*10000*Company!G5/100000000)-Paths!$C$20*Paths!$C$21)/(1+Paths!$C$19),(Company!K5+(C4/Paths!$B$26/I4-Company!H5*10000*Paths!$C$16/100000000)/(Company!E5*10000*Company!G5/100000000))/(1+Company!M5)))</f>
        <v/>
      </c>
      <c r="R4">
        <f>N4*(18-Paths!$B$24)*(1+IF(Company!S5=1,Paths!$C$19,Company!M5))</f>
        <v/>
      </c>
      <c r="S4">
        <f>R4/C4</f>
        <v/>
      </c>
    </row>
    <row r="5">
      <c r="A5" t="inlineStr">
        <is>
          <t>SZ300498</t>
        </is>
      </c>
      <c r="B5">
        <f>Company!B6</f>
        <v/>
      </c>
      <c r="C5">
        <f>Company!C6</f>
        <v/>
      </c>
      <c r="D5">
        <f>SUMPRODUCT((Quarterly!$A$2:$A$65=A5)*Quarterly!$E$2:$E$65*Quarterly!$G$2:$G$65)/SUMIF(Quarterly!$A$2:$A$65,A5,Quarterly!$G$2:$G$65)</f>
        <v/>
      </c>
      <c r="E5">
        <f>Company!U6</f>
        <v/>
      </c>
      <c r="F5">
        <f>IF(E5="","",SUMPRODUCT((Quarterly!$A$2:$A$65=A5)*Quarterly!$H$2:$H$65*Quarterly!$G$2:$G$65)/SUMIF(Quarterly!$A$2:$A$65,A5,Quarterly!$G$2:$G$65))</f>
        <v/>
      </c>
      <c r="G5">
        <f>IF(E5="","",SUMIF(Quarterly!$A$2:$A$65,A5,Quarterly!$I$2:$I$65))</f>
        <v/>
      </c>
      <c r="H5">
        <f>Company!H6*10000*Paths!$E$16/100000000</f>
        <v/>
      </c>
      <c r="I5">
        <f>Company!N6</f>
        <v/>
      </c>
      <c r="J5">
        <f>IF(G5="","",(G5+H5)*I5)</f>
        <v/>
      </c>
      <c r="K5">
        <f>IF(J5="","",IF(J5&gt;0,C5/J5,"亏损"))</f>
        <v/>
      </c>
      <c r="L5">
        <f>IF(J5="","",J5/C5)</f>
        <v/>
      </c>
      <c r="M5">
        <f>D5-(C5/Paths!$B$27/I5-H5)*100000000/(Company!T6*10000*Company!G6)</f>
        <v/>
      </c>
      <c r="N5">
        <f>Company!E6*10000*Company!G6/100000000*I5</f>
        <v/>
      </c>
      <c r="O5">
        <f>N5/C5</f>
        <v/>
      </c>
      <c r="P5">
        <f>IF(Company!K6="","",IF(Company!S6=1,(Company!K6+(C5/Paths!$B$25/I5-Company!H6*10000*Paths!$C$16/100000000)/(Company!E6*10000*Company!G6/100000000)-Paths!$C$20*Paths!$C$21)/(1+Paths!$C$19),(Company!K6+(C5/Paths!$B$25/I5-Company!H6*10000*Paths!$C$16/100000000)/(Company!E6*10000*Company!G6/100000000))/(1+Company!M6)))</f>
        <v/>
      </c>
      <c r="Q5">
        <f>IF(Company!K6="","",IF(Company!S6=1,(Company!K6+(C5/Paths!$B$26/I5-Company!H6*10000*Paths!$C$16/100000000)/(Company!E6*10000*Company!G6/100000000)-Paths!$C$20*Paths!$C$21)/(1+Paths!$C$19),(Company!K6+(C5/Paths!$B$26/I5-Company!H6*10000*Paths!$C$16/100000000)/(Company!E6*10000*Company!G6/100000000))/(1+Company!M6)))</f>
        <v/>
      </c>
      <c r="R5">
        <f>N5*(18-Paths!$B$24)*(1+IF(Company!S6=1,Paths!$C$19,Company!M6))</f>
        <v/>
      </c>
      <c r="S5">
        <f>R5/C5</f>
        <v/>
      </c>
    </row>
    <row r="6">
      <c r="A6" t="inlineStr">
        <is>
          <t>SZ000876</t>
        </is>
      </c>
      <c r="B6">
        <f>Company!B7</f>
        <v/>
      </c>
      <c r="C6">
        <f>Company!C7</f>
        <v/>
      </c>
      <c r="D6">
        <f>SUMPRODUCT((Quarterly!$A$2:$A$65=A6)*Quarterly!$E$2:$E$65*Quarterly!$G$2:$G$65)/SUMIF(Quarterly!$A$2:$A$65,A6,Quarterly!$G$2:$G$65)</f>
        <v/>
      </c>
      <c r="E6">
        <f>Company!U7</f>
        <v/>
      </c>
      <c r="F6">
        <f>IF(E6="","",SUMPRODUCT((Quarterly!$A$2:$A$65=A6)*Quarterly!$H$2:$H$65*Quarterly!$G$2:$G$65)/SUMIF(Quarterly!$A$2:$A$65,A6,Quarterly!$G$2:$G$65))</f>
        <v/>
      </c>
      <c r="G6">
        <f>IF(E6="","",SUMIF(Quarterly!$A$2:$A$65,A6,Quarterly!$I$2:$I$65))</f>
        <v/>
      </c>
      <c r="H6">
        <f>Company!H7*10000*Paths!$E$16/100000000</f>
        <v/>
      </c>
      <c r="I6">
        <f>Company!N7</f>
        <v/>
      </c>
      <c r="J6">
        <f>IF(G6="","",(G6+H6)*I6)</f>
        <v/>
      </c>
      <c r="K6">
        <f>IF(J6="","",IF(J6&gt;0,C6/J6,"亏损"))</f>
        <v/>
      </c>
      <c r="L6">
        <f>IF(J6="","",J6/C6)</f>
        <v/>
      </c>
      <c r="M6">
        <f>D6-(C6/Paths!$B$27/I6-H6)*100000000/(Company!T7*10000*Company!G7)</f>
        <v/>
      </c>
      <c r="N6">
        <f>Company!E7*10000*Company!G7/100000000*I6</f>
        <v/>
      </c>
      <c r="O6">
        <f>N6/C6</f>
        <v/>
      </c>
      <c r="P6">
        <f>IF(Company!K7="","",IF(Company!S7=1,(Company!K7+(C6/Paths!$B$25/I6-Company!H7*10000*Paths!$C$16/100000000)/(Company!E7*10000*Company!G7/100000000)-Paths!$C$20*Paths!$C$21)/(1+Paths!$C$19),(Company!K7+(C6/Paths!$B$25/I6-Company!H7*10000*Paths!$C$16/100000000)/(Company!E7*10000*Company!G7/100000000))/(1+Company!M7)))</f>
        <v/>
      </c>
      <c r="Q6">
        <f>IF(Company!K7="","",IF(Company!S7=1,(Company!K7+(C6/Paths!$B$26/I6-Company!H7*10000*Paths!$C$16/100000000)/(Company!E7*10000*Company!G7/100000000)-Paths!$C$20*Paths!$C$21)/(1+Paths!$C$19),(Company!K7+(C6/Paths!$B$26/I6-Company!H7*10000*Paths!$C$16/100000000)/(Company!E7*10000*Company!G7/100000000))/(1+Company!M7)))</f>
        <v/>
      </c>
      <c r="R6">
        <f>N6*(18-Paths!$B$24)*(1+IF(Company!S7=1,Paths!$C$19,Company!M7))</f>
        <v/>
      </c>
      <c r="S6">
        <f>R6/C6</f>
        <v/>
      </c>
    </row>
    <row r="7">
      <c r="A7" t="inlineStr">
        <is>
          <t>SZ002100</t>
        </is>
      </c>
      <c r="B7">
        <f>Company!B8</f>
        <v/>
      </c>
      <c r="C7">
        <f>Company!C8</f>
        <v/>
      </c>
      <c r="D7">
        <f>SUMPRODUCT((Quarterly!$A$2:$A$65=A7)*Quarterly!$E$2:$E$65*Quarterly!$G$2:$G$65)/SUMIF(Quarterly!$A$2:$A$65,A7,Quarterly!$G$2:$G$65)</f>
        <v/>
      </c>
      <c r="E7">
        <f>Company!U8</f>
        <v/>
      </c>
      <c r="F7">
        <f>IF(E7="","",SUMPRODUCT((Quarterly!$A$2:$A$65=A7)*Quarterly!$H$2:$H$65*Quarterly!$G$2:$G$65)/SUMIF(Quarterly!$A$2:$A$65,A7,Quarterly!$G$2:$G$65))</f>
        <v/>
      </c>
      <c r="G7">
        <f>IF(E7="","",SUMIF(Quarterly!$A$2:$A$65,A7,Quarterly!$I$2:$I$65))</f>
        <v/>
      </c>
      <c r="H7">
        <f>Company!H8*10000*Paths!$E$16/100000000</f>
        <v/>
      </c>
      <c r="I7">
        <f>Company!N8</f>
        <v/>
      </c>
      <c r="J7">
        <f>IF(G7="","",(G7+H7)*I7)</f>
        <v/>
      </c>
      <c r="K7">
        <f>IF(J7="","",IF(J7&gt;0,C7/J7,"亏损"))</f>
        <v/>
      </c>
      <c r="L7">
        <f>IF(J7="","",J7/C7)</f>
        <v/>
      </c>
      <c r="M7">
        <f>D7-(C7/Paths!$B$27/I7-H7)*100000000/(Company!T8*10000*Company!G8)</f>
        <v/>
      </c>
      <c r="N7">
        <f>Company!E8*10000*Company!G8/100000000*I7</f>
        <v/>
      </c>
      <c r="O7">
        <f>N7/C7</f>
        <v/>
      </c>
      <c r="P7">
        <f>IF(Company!K8="","",IF(Company!S8=1,(Company!K8+(C7/Paths!$B$25/I7-Company!H8*10000*Paths!$C$16/100000000)/(Company!E8*10000*Company!G8/100000000)-Paths!$C$20*Paths!$C$21)/(1+Paths!$C$19),(Company!K8+(C7/Paths!$B$25/I7-Company!H8*10000*Paths!$C$16/100000000)/(Company!E8*10000*Company!G8/100000000))/(1+Company!M8)))</f>
        <v/>
      </c>
      <c r="Q7">
        <f>IF(Company!K8="","",IF(Company!S8=1,(Company!K8+(C7/Paths!$B$26/I7-Company!H8*10000*Paths!$C$16/100000000)/(Company!E8*10000*Company!G8/100000000)-Paths!$C$20*Paths!$C$21)/(1+Paths!$C$19),(Company!K8+(C7/Paths!$B$26/I7-Company!H8*10000*Paths!$C$16/100000000)/(Company!E8*10000*Company!G8/100000000))/(1+Company!M8)))</f>
        <v/>
      </c>
      <c r="R7">
        <f>N7*(18-Paths!$B$24)*(1+IF(Company!S8=1,Paths!$C$19,Company!M8))</f>
        <v/>
      </c>
      <c r="S7">
        <f>R7/C7</f>
        <v/>
      </c>
    </row>
    <row r="8">
      <c r="A8" t="inlineStr">
        <is>
          <t>SZ001201</t>
        </is>
      </c>
      <c r="B8">
        <f>Company!B9</f>
        <v/>
      </c>
      <c r="C8">
        <f>Company!C9</f>
        <v/>
      </c>
      <c r="D8">
        <f>SUMPRODUCT((Quarterly!$A$2:$A$65=A8)*Quarterly!$E$2:$E$65*Quarterly!$G$2:$G$65)/SUMIF(Quarterly!$A$2:$A$65,A8,Quarterly!$G$2:$G$65)</f>
        <v/>
      </c>
      <c r="E8">
        <f>Company!U9</f>
        <v/>
      </c>
      <c r="F8">
        <f>IF(E8="","",SUMPRODUCT((Quarterly!$A$2:$A$65=A8)*Quarterly!$H$2:$H$65*Quarterly!$G$2:$G$65)/SUMIF(Quarterly!$A$2:$A$65,A8,Quarterly!$G$2:$G$65))</f>
        <v/>
      </c>
      <c r="G8">
        <f>IF(E8="","",SUMIF(Quarterly!$A$2:$A$65,A8,Quarterly!$I$2:$I$65))</f>
        <v/>
      </c>
      <c r="H8">
        <f>Company!H9*10000*Paths!$E$16/100000000</f>
        <v/>
      </c>
      <c r="I8">
        <f>Company!N9</f>
        <v/>
      </c>
      <c r="J8">
        <f>IF(G8="","",(G8+H8)*I8)</f>
        <v/>
      </c>
      <c r="K8">
        <f>IF(J8="","",IF(J8&gt;0,C8/J8,"亏损"))</f>
        <v/>
      </c>
      <c r="L8">
        <f>IF(J8="","",J8/C8)</f>
        <v/>
      </c>
      <c r="M8">
        <f>D8-(C8/Paths!$B$27/I8-H8)*100000000/(Company!T9*10000*Company!G9)</f>
        <v/>
      </c>
      <c r="N8">
        <f>Company!E9*10000*Company!G9/100000000*I8</f>
        <v/>
      </c>
      <c r="O8">
        <f>N8/C8</f>
        <v/>
      </c>
      <c r="P8">
        <f>IF(Company!K9="","",IF(Company!S9=1,(Company!K9+(C8/Paths!$B$25/I8-Company!H9*10000*Paths!$C$16/100000000)/(Company!E9*10000*Company!G9/100000000)-Paths!$C$20*Paths!$C$21)/(1+Paths!$C$19),(Company!K9+(C8/Paths!$B$25/I8-Company!H9*10000*Paths!$C$16/100000000)/(Company!E9*10000*Company!G9/100000000))/(1+Company!M9)))</f>
        <v/>
      </c>
      <c r="Q8">
        <f>IF(Company!K9="","",IF(Company!S9=1,(Company!K9+(C8/Paths!$B$26/I8-Company!H9*10000*Paths!$C$16/100000000)/(Company!E9*10000*Company!G9/100000000)-Paths!$C$20*Paths!$C$21)/(1+Paths!$C$19),(Company!K9+(C8/Paths!$B$26/I8-Company!H9*10000*Paths!$C$16/100000000)/(Company!E9*10000*Company!G9/100000000))/(1+Company!M9)))</f>
        <v/>
      </c>
      <c r="R8">
        <f>N8*(18-Paths!$B$24)*(1+IF(Company!S9=1,Paths!$C$19,Company!M9))</f>
        <v/>
      </c>
      <c r="S8">
        <f>R8/C8</f>
        <v/>
      </c>
    </row>
    <row r="9">
      <c r="A9" t="inlineStr">
        <is>
          <t>SZ000048</t>
        </is>
      </c>
      <c r="B9">
        <f>Company!B10</f>
        <v/>
      </c>
      <c r="C9">
        <f>Company!C10</f>
        <v/>
      </c>
      <c r="D9">
        <f>SUMPRODUCT((Quarterly!$A$2:$A$65=A9)*Quarterly!$E$2:$E$65*Quarterly!$G$2:$G$65)/SUMIF(Quarterly!$A$2:$A$65,A9,Quarterly!$G$2:$G$65)</f>
        <v/>
      </c>
      <c r="E9">
        <f>Company!U10</f>
        <v/>
      </c>
      <c r="F9">
        <f>IF(E9="","",SUMPRODUCT((Quarterly!$A$2:$A$65=A9)*Quarterly!$H$2:$H$65*Quarterly!$G$2:$G$65)/SUMIF(Quarterly!$A$2:$A$65,A9,Quarterly!$G$2:$G$65))</f>
        <v/>
      </c>
      <c r="G9">
        <f>IF(E9="","",SUMIF(Quarterly!$A$2:$A$65,A9,Quarterly!$I$2:$I$65))</f>
        <v/>
      </c>
      <c r="H9">
        <f>Company!H10*10000*Paths!$E$16/100000000</f>
        <v/>
      </c>
      <c r="I9">
        <f>Company!N10</f>
        <v/>
      </c>
      <c r="J9">
        <f>IF(G9="","",(G9+H9)*I9)</f>
        <v/>
      </c>
      <c r="K9">
        <f>IF(J9="","",IF(J9&gt;0,C9/J9,"亏损"))</f>
        <v/>
      </c>
      <c r="L9">
        <f>IF(J9="","",J9/C9)</f>
        <v/>
      </c>
      <c r="M9">
        <f>D9-(C9/Paths!$B$27/I9-H9)*100000000/(Company!T10*10000*Company!G10)</f>
        <v/>
      </c>
      <c r="N9">
        <f>Company!E10*10000*Company!G10/100000000*I9</f>
        <v/>
      </c>
      <c r="O9">
        <f>N9/C9</f>
        <v/>
      </c>
      <c r="P9">
        <f>IF(Company!K10="","",IF(Company!S10=1,(Company!K10+(C9/Paths!$B$25/I9-Company!H10*10000*Paths!$C$16/100000000)/(Company!E10*10000*Company!G10/100000000)-Paths!$C$20*Paths!$C$21)/(1+Paths!$C$19),(Company!K10+(C9/Paths!$B$25/I9-Company!H10*10000*Paths!$C$16/100000000)/(Company!E10*10000*Company!G10/100000000))/(1+Company!M10)))</f>
        <v/>
      </c>
      <c r="Q9">
        <f>IF(Company!K10="","",IF(Company!S10=1,(Company!K10+(C9/Paths!$B$26/I9-Company!H10*10000*Paths!$C$16/100000000)/(Company!E10*10000*Company!G10/100000000)-Paths!$C$20*Paths!$C$21)/(1+Paths!$C$19),(Company!K10+(C9/Paths!$B$26/I9-Company!H10*10000*Paths!$C$16/100000000)/(Company!E10*10000*Company!G10/100000000))/(1+Company!M10)))</f>
        <v/>
      </c>
      <c r="R9">
        <f>N9*(18-Paths!$B$24)*(1+IF(Company!S10=1,Paths!$C$19,Company!M10))</f>
        <v/>
      </c>
      <c r="S9">
        <f>R9/C9</f>
        <v/>
      </c>
    </row>
    <row r="10">
      <c r="A10" t="inlineStr">
        <is>
          <t>SH605296</t>
        </is>
      </c>
      <c r="B10">
        <f>Company!B11</f>
        <v/>
      </c>
      <c r="C10">
        <f>Company!C11</f>
        <v/>
      </c>
      <c r="D10">
        <f>SUMPRODUCT((Quarterly!$A$2:$A$65=A10)*Quarterly!$E$2:$E$65*Quarterly!$G$2:$G$65)/SUMIF(Quarterly!$A$2:$A$65,A10,Quarterly!$G$2:$G$65)</f>
        <v/>
      </c>
      <c r="E10">
        <f>Company!U11</f>
        <v/>
      </c>
      <c r="F10">
        <f>IF(E10="","",SUMPRODUCT((Quarterly!$A$2:$A$65=A10)*Quarterly!$H$2:$H$65*Quarterly!$G$2:$G$65)/SUMIF(Quarterly!$A$2:$A$65,A10,Quarterly!$G$2:$G$65))</f>
        <v/>
      </c>
      <c r="G10">
        <f>IF(E10="","",SUMIF(Quarterly!$A$2:$A$65,A10,Quarterly!$I$2:$I$65))</f>
        <v/>
      </c>
      <c r="H10">
        <f>Company!H11*10000*Paths!$E$16/100000000</f>
        <v/>
      </c>
      <c r="I10">
        <f>Company!N11</f>
        <v/>
      </c>
      <c r="J10">
        <f>IF(G10="","",(G10+H10)*I10)</f>
        <v/>
      </c>
      <c r="K10">
        <f>IF(J10="","",IF(J10&gt;0,C10/J10,"亏损"))</f>
        <v/>
      </c>
      <c r="L10">
        <f>IF(J10="","",J10/C10)</f>
        <v/>
      </c>
      <c r="M10">
        <f>D10-(C10/Paths!$B$27/I10-H10)*100000000/(Company!T11*10000*Company!G11)</f>
        <v/>
      </c>
      <c r="N10">
        <f>Company!E11*10000*Company!G11/100000000*I10</f>
        <v/>
      </c>
      <c r="O10">
        <f>N10/C10</f>
        <v/>
      </c>
      <c r="P10">
        <f>IF(Company!K11="","",IF(Company!S11=1,(Company!K11+(C10/Paths!$B$25/I10-Company!H11*10000*Paths!$C$16/100000000)/(Company!E11*10000*Company!G11/100000000)-Paths!$C$20*Paths!$C$21)/(1+Paths!$C$19),(Company!K11+(C10/Paths!$B$25/I10-Company!H11*10000*Paths!$C$16/100000000)/(Company!E11*10000*Company!G11/100000000))/(1+Company!M11)))</f>
        <v/>
      </c>
      <c r="Q10">
        <f>IF(Company!K11="","",IF(Company!S11=1,(Company!K11+(C10/Paths!$B$26/I10-Company!H11*10000*Paths!$C$16/100000000)/(Company!E11*10000*Company!G11/100000000)-Paths!$C$20*Paths!$C$21)/(1+Paths!$C$19),(Company!K11+(C10/Paths!$B$26/I10-Company!H11*10000*Paths!$C$16/100000000)/(Company!E11*10000*Company!G11/100000000))/(1+Company!M11)))</f>
        <v/>
      </c>
      <c r="R10">
        <f>N10*(18-Paths!$B$24)*(1+IF(Company!S11=1,Paths!$C$19,Company!M11))</f>
        <v/>
      </c>
      <c r="S10">
        <f>R10/C10</f>
        <v/>
      </c>
    </row>
    <row r="11">
      <c r="A11" t="inlineStr">
        <is>
          <t>SH603477</t>
        </is>
      </c>
      <c r="B11">
        <f>Company!B12</f>
        <v/>
      </c>
      <c r="C11">
        <f>Company!C12</f>
        <v/>
      </c>
      <c r="D11">
        <f>SUMPRODUCT((Quarterly!$A$2:$A$65=A11)*Quarterly!$E$2:$E$65*Quarterly!$G$2:$G$65)/SUMIF(Quarterly!$A$2:$A$65,A11,Quarterly!$G$2:$G$65)</f>
        <v/>
      </c>
      <c r="E11">
        <f>Company!U12</f>
        <v/>
      </c>
      <c r="F11">
        <f>IF(E11="","",SUMPRODUCT((Quarterly!$A$2:$A$65=A11)*Quarterly!$H$2:$H$65*Quarterly!$G$2:$G$65)/SUMIF(Quarterly!$A$2:$A$65,A11,Quarterly!$G$2:$G$65))</f>
        <v/>
      </c>
      <c r="G11">
        <f>IF(E11="","",SUMIF(Quarterly!$A$2:$A$65,A11,Quarterly!$I$2:$I$65))</f>
        <v/>
      </c>
      <c r="H11">
        <f>Company!H12*10000*Paths!$E$16/100000000</f>
        <v/>
      </c>
      <c r="I11">
        <f>Company!N12</f>
        <v/>
      </c>
      <c r="J11">
        <f>IF(G11="","",(G11+H11)*I11)</f>
        <v/>
      </c>
      <c r="K11">
        <f>IF(J11="","",IF(J11&gt;0,C11/J11,"亏损"))</f>
        <v/>
      </c>
      <c r="L11">
        <f>IF(J11="","",J11/C11)</f>
        <v/>
      </c>
      <c r="M11">
        <f>D11-(C11/Paths!$B$27/I11-H11)*100000000/(Company!T12*10000*Company!G12)</f>
        <v/>
      </c>
      <c r="N11">
        <f>Company!E12*10000*Company!G12/100000000*I11</f>
        <v/>
      </c>
      <c r="O11">
        <f>N11/C11</f>
        <v/>
      </c>
      <c r="P11">
        <f>IF(Company!K12="","",IF(Company!S12=1,(Company!K12+(C11/Paths!$B$25/I11-Company!H12*10000*Paths!$C$16/100000000)/(Company!E12*10000*Company!G12/100000000)-Paths!$C$20*Paths!$C$21)/(1+Paths!$C$19),(Company!K12+(C11/Paths!$B$25/I11-Company!H12*10000*Paths!$C$16/100000000)/(Company!E12*10000*Company!G12/100000000))/(1+Company!M12)))</f>
        <v/>
      </c>
      <c r="Q11">
        <f>IF(Company!K12="","",IF(Company!S12=1,(Company!K12+(C11/Paths!$B$26/I11-Company!H12*10000*Paths!$C$16/100000000)/(Company!E12*10000*Company!G12/100000000)-Paths!$C$20*Paths!$C$21)/(1+Paths!$C$19),(Company!K12+(C11/Paths!$B$26/I11-Company!H12*10000*Paths!$C$16/100000000)/(Company!E12*10000*Company!G12/100000000))/(1+Company!M12)))</f>
        <v/>
      </c>
      <c r="R11">
        <f>N11*(18-Paths!$B$24)*(1+IF(Company!S12=1,Paths!$C$19,Company!M12))</f>
        <v/>
      </c>
      <c r="S11">
        <f>R11/C11</f>
        <v/>
      </c>
    </row>
    <row r="12">
      <c r="A12" t="inlineStr">
        <is>
          <t>SZ002567</t>
        </is>
      </c>
      <c r="B12">
        <f>Company!B13</f>
        <v/>
      </c>
      <c r="C12">
        <f>Company!C13</f>
        <v/>
      </c>
      <c r="D12">
        <f>SUMPRODUCT((Quarterly!$A$2:$A$65=A12)*Quarterly!$E$2:$E$65*Quarterly!$G$2:$G$65)/SUMIF(Quarterly!$A$2:$A$65,A12,Quarterly!$G$2:$G$65)</f>
        <v/>
      </c>
      <c r="E12">
        <f>Company!U13</f>
        <v/>
      </c>
      <c r="F12">
        <f>IF(E12="","",SUMPRODUCT((Quarterly!$A$2:$A$65=A12)*Quarterly!$H$2:$H$65*Quarterly!$G$2:$G$65)/SUMIF(Quarterly!$A$2:$A$65,A12,Quarterly!$G$2:$G$65))</f>
        <v/>
      </c>
      <c r="G12">
        <f>IF(E12="","",SUMIF(Quarterly!$A$2:$A$65,A12,Quarterly!$I$2:$I$65))</f>
        <v/>
      </c>
      <c r="H12">
        <f>Company!H13*10000*Paths!$E$16/100000000</f>
        <v/>
      </c>
      <c r="I12">
        <f>Company!N13</f>
        <v/>
      </c>
      <c r="J12">
        <f>IF(G12="","",(G12+H12)*I12)</f>
        <v/>
      </c>
      <c r="K12">
        <f>IF(J12="","",IF(J12&gt;0,C12/J12,"亏损"))</f>
        <v/>
      </c>
      <c r="L12">
        <f>IF(J12="","",J12/C12)</f>
        <v/>
      </c>
      <c r="M12">
        <f>D12-(C12/Paths!$B$27/I12-H12)*100000000/(Company!T13*10000*Company!G13)</f>
        <v/>
      </c>
      <c r="N12">
        <f>Company!E13*10000*Company!G13/100000000*I12</f>
        <v/>
      </c>
      <c r="O12">
        <f>N12/C12</f>
        <v/>
      </c>
      <c r="P12">
        <f>IF(Company!K13="","",IF(Company!S13=1,(Company!K13+(C12/Paths!$B$25/I12-Company!H13*10000*Paths!$C$16/100000000)/(Company!E13*10000*Company!G13/100000000)-Paths!$C$20*Paths!$C$21)/(1+Paths!$C$19),(Company!K13+(C12/Paths!$B$25/I12-Company!H13*10000*Paths!$C$16/100000000)/(Company!E13*10000*Company!G13/100000000))/(1+Company!M13)))</f>
        <v/>
      </c>
      <c r="Q12">
        <f>IF(Company!K13="","",IF(Company!S13=1,(Company!K13+(C12/Paths!$B$26/I12-Company!H13*10000*Paths!$C$16/100000000)/(Company!E13*10000*Company!G13/100000000)-Paths!$C$20*Paths!$C$21)/(1+Paths!$C$19),(Company!K13+(C12/Paths!$B$26/I12-Company!H13*10000*Paths!$C$16/100000000)/(Company!E13*10000*Company!G13/100000000))/(1+Company!M13)))</f>
        <v/>
      </c>
      <c r="R12">
        <f>N12*(18-Paths!$B$24)*(1+IF(Company!S13=1,Paths!$C$19,Company!M13))</f>
        <v/>
      </c>
      <c r="S12">
        <f>R12/C12</f>
        <v/>
      </c>
    </row>
    <row r="13">
      <c r="A13" t="inlineStr">
        <is>
          <t>SZ002385</t>
        </is>
      </c>
      <c r="B13">
        <f>Company!B14</f>
        <v/>
      </c>
      <c r="C13">
        <f>Company!C14</f>
        <v/>
      </c>
      <c r="D13">
        <f>SUMPRODUCT((Quarterly!$A$2:$A$65=A13)*Quarterly!$E$2:$E$65*Quarterly!$G$2:$G$65)/SUMIF(Quarterly!$A$2:$A$65,A13,Quarterly!$G$2:$G$65)</f>
        <v/>
      </c>
      <c r="E13">
        <f>Company!U14</f>
        <v/>
      </c>
      <c r="F13">
        <f>IF(E13="","",SUMPRODUCT((Quarterly!$A$2:$A$65=A13)*Quarterly!$H$2:$H$65*Quarterly!$G$2:$G$65)/SUMIF(Quarterly!$A$2:$A$65,A13,Quarterly!$G$2:$G$65))</f>
        <v/>
      </c>
      <c r="G13">
        <f>IF(E13="","",SUMIF(Quarterly!$A$2:$A$65,A13,Quarterly!$I$2:$I$65))</f>
        <v/>
      </c>
      <c r="H13">
        <f>Company!H14*10000*Paths!$E$16/100000000</f>
        <v/>
      </c>
      <c r="I13">
        <f>Company!N14</f>
        <v/>
      </c>
      <c r="J13">
        <f>IF(G13="","",(G13+H13)*I13)</f>
        <v/>
      </c>
      <c r="K13">
        <f>IF(J13="","",IF(J13&gt;0,C13/J13,"亏损"))</f>
        <v/>
      </c>
      <c r="L13">
        <f>IF(J13="","",J13/C13)</f>
        <v/>
      </c>
      <c r="M13">
        <f>D13-(C13/Paths!$B$27/I13-H13)*100000000/(Company!T14*10000*Company!G14)</f>
        <v/>
      </c>
      <c r="N13">
        <f>Company!E14*10000*Company!G14/100000000*I13</f>
        <v/>
      </c>
      <c r="O13">
        <f>N13/C13</f>
        <v/>
      </c>
      <c r="P13">
        <f>IF(Company!K14="","",IF(Company!S14=1,(Company!K14+(C13/Paths!$B$25/I13-Company!H14*10000*Paths!$C$16/100000000)/(Company!E14*10000*Company!G14/100000000)-Paths!$C$20*Paths!$C$21)/(1+Paths!$C$19),(Company!K14+(C13/Paths!$B$25/I13-Company!H14*10000*Paths!$C$16/100000000)/(Company!E14*10000*Company!G14/100000000))/(1+Company!M14)))</f>
        <v/>
      </c>
      <c r="Q13">
        <f>IF(Company!K14="","",IF(Company!S14=1,(Company!K14+(C13/Paths!$B$26/I13-Company!H14*10000*Paths!$C$16/100000000)/(Company!E14*10000*Company!G14/100000000)-Paths!$C$20*Paths!$C$21)/(1+Paths!$C$19),(Company!K14+(C13/Paths!$B$26/I13-Company!H14*10000*Paths!$C$16/100000000)/(Company!E14*10000*Company!G14/100000000))/(1+Company!M14)))</f>
        <v/>
      </c>
      <c r="R13">
        <f>N13*(18-Paths!$B$24)*(1+IF(Company!S14=1,Paths!$C$19,Company!M14))</f>
        <v/>
      </c>
      <c r="S13">
        <f>R13/C13</f>
        <v/>
      </c>
    </row>
    <row r="14">
      <c r="A14" t="inlineStr">
        <is>
          <t>SH603363</t>
        </is>
      </c>
      <c r="B14">
        <f>Company!B15</f>
        <v/>
      </c>
      <c r="C14">
        <f>Company!C15</f>
        <v/>
      </c>
      <c r="D14">
        <f>SUMPRODUCT((Quarterly!$A$2:$A$65=A14)*Quarterly!$E$2:$E$65*Quarterly!$G$2:$G$65)/SUMIF(Quarterly!$A$2:$A$65,A14,Quarterly!$G$2:$G$65)</f>
        <v/>
      </c>
      <c r="E14">
        <f>Company!U15</f>
        <v/>
      </c>
      <c r="F14">
        <f>IF(E14="","",SUMPRODUCT((Quarterly!$A$2:$A$65=A14)*Quarterly!$H$2:$H$65*Quarterly!$G$2:$G$65)/SUMIF(Quarterly!$A$2:$A$65,A14,Quarterly!$G$2:$G$65))</f>
        <v/>
      </c>
      <c r="G14">
        <f>IF(E14="","",SUMIF(Quarterly!$A$2:$A$65,A14,Quarterly!$I$2:$I$65))</f>
        <v/>
      </c>
      <c r="H14">
        <f>Company!H15*10000*Paths!$E$16/100000000</f>
        <v/>
      </c>
      <c r="I14">
        <f>Company!N15</f>
        <v/>
      </c>
      <c r="J14">
        <f>IF(G14="","",(G14+H14)*I14)</f>
        <v/>
      </c>
      <c r="K14">
        <f>IF(J14="","",IF(J14&gt;0,C14/J14,"亏损"))</f>
        <v/>
      </c>
      <c r="L14">
        <f>IF(J14="","",J14/C14)</f>
        <v/>
      </c>
      <c r="M14">
        <f>D14-(C14/Paths!$B$27/I14-H14)*100000000/(Company!T15*10000*Company!G15)</f>
        <v/>
      </c>
      <c r="N14">
        <f>Company!E15*10000*Company!G15/100000000*I14</f>
        <v/>
      </c>
      <c r="O14">
        <f>N14/C14</f>
        <v/>
      </c>
      <c r="P14">
        <f>IF(Company!K15="","",IF(Company!S15=1,(Company!K15+(C14/Paths!$B$25/I14-Company!H15*10000*Paths!$C$16/100000000)/(Company!E15*10000*Company!G15/100000000)-Paths!$C$20*Paths!$C$21)/(1+Paths!$C$19),(Company!K15+(C14/Paths!$B$25/I14-Company!H15*10000*Paths!$C$16/100000000)/(Company!E15*10000*Company!G15/100000000))/(1+Company!M15)))</f>
        <v/>
      </c>
      <c r="Q14">
        <f>IF(Company!K15="","",IF(Company!S15=1,(Company!K15+(C14/Paths!$B$26/I14-Company!H15*10000*Paths!$C$16/100000000)/(Company!E15*10000*Company!G15/100000000)-Paths!$C$20*Paths!$C$21)/(1+Paths!$C$19),(Company!K15+(C14/Paths!$B$26/I14-Company!H15*10000*Paths!$C$16/100000000)/(Company!E15*10000*Company!G15/100000000))/(1+Company!M15)))</f>
        <v/>
      </c>
      <c r="R14">
        <f>N14*(18-Paths!$B$24)*(1+IF(Company!S15=1,Paths!$C$19,Company!M15))</f>
        <v/>
      </c>
      <c r="S14">
        <f>R14/C14</f>
        <v/>
      </c>
    </row>
    <row r="15">
      <c r="A15" t="inlineStr">
        <is>
          <t>SZ002124</t>
        </is>
      </c>
      <c r="B15">
        <f>Company!B16</f>
        <v/>
      </c>
      <c r="C15">
        <f>Company!C16</f>
        <v/>
      </c>
      <c r="D15">
        <f>SUMPRODUCT((Quarterly!$A$2:$A$65=A15)*Quarterly!$E$2:$E$65*Quarterly!$G$2:$G$65)/SUMIF(Quarterly!$A$2:$A$65,A15,Quarterly!$G$2:$G$65)</f>
        <v/>
      </c>
      <c r="E15">
        <f>Company!U16</f>
        <v/>
      </c>
      <c r="F15">
        <f>IF(E15="","",SUMPRODUCT((Quarterly!$A$2:$A$65=A15)*Quarterly!$H$2:$H$65*Quarterly!$G$2:$G$65)/SUMIF(Quarterly!$A$2:$A$65,A15,Quarterly!$G$2:$G$65))</f>
        <v/>
      </c>
      <c r="G15">
        <f>IF(E15="","",SUMIF(Quarterly!$A$2:$A$65,A15,Quarterly!$I$2:$I$65))</f>
        <v/>
      </c>
      <c r="H15">
        <f>Company!H16*10000*Paths!$E$16/100000000</f>
        <v/>
      </c>
      <c r="I15">
        <f>Company!N16</f>
        <v/>
      </c>
      <c r="J15">
        <f>IF(G15="","",(G15+H15)*I15)</f>
        <v/>
      </c>
      <c r="K15">
        <f>IF(J15="","",IF(J15&gt;0,C15/J15,"亏损"))</f>
        <v/>
      </c>
      <c r="L15">
        <f>IF(J15="","",J15/C15)</f>
        <v/>
      </c>
      <c r="M15">
        <f>D15-(C15/Paths!$B$27/I15-H15)*100000000/(Company!T16*10000*Company!G16)</f>
        <v/>
      </c>
      <c r="N15">
        <f>Company!E16*10000*Company!G16/100000000*I15</f>
        <v/>
      </c>
      <c r="O15">
        <f>N15/C15</f>
        <v/>
      </c>
      <c r="P15">
        <f>IF(Company!K16="","",IF(Company!S16=1,(Company!K16+(C15/Paths!$B$25/I15-Company!H16*10000*Paths!$C$16/100000000)/(Company!E16*10000*Company!G16/100000000)-Paths!$C$20*Paths!$C$21)/(1+Paths!$C$19),(Company!K16+(C15/Paths!$B$25/I15-Company!H16*10000*Paths!$C$16/100000000)/(Company!E16*10000*Company!G16/100000000))/(1+Company!M16)))</f>
        <v/>
      </c>
      <c r="Q15">
        <f>IF(Company!K16="","",IF(Company!S16=1,(Company!K16+(C15/Paths!$B$26/I15-Company!H16*10000*Paths!$C$16/100000000)/(Company!E16*10000*Company!G16/100000000)-Paths!$C$20*Paths!$C$21)/(1+Paths!$C$19),(Company!K16+(C15/Paths!$B$26/I15-Company!H16*10000*Paths!$C$16/100000000)/(Company!E16*10000*Company!G16/100000000))/(1+Company!M16)))</f>
        <v/>
      </c>
      <c r="R15">
        <f>N15*(18-Paths!$B$24)*(1+IF(Company!S16=1,Paths!$C$19,Company!M16))</f>
        <v/>
      </c>
      <c r="S15">
        <f>R15/C15</f>
        <v/>
      </c>
    </row>
    <row r="16">
      <c r="A16" t="inlineStr">
        <is>
          <t>SZ002548</t>
        </is>
      </c>
      <c r="B16">
        <f>Company!B17</f>
        <v/>
      </c>
      <c r="C16">
        <f>Company!C17</f>
        <v/>
      </c>
      <c r="D16">
        <f>SUMPRODUCT((Quarterly!$A$2:$A$65=A16)*Quarterly!$E$2:$E$65*Quarterly!$G$2:$G$65)/SUMIF(Quarterly!$A$2:$A$65,A16,Quarterly!$G$2:$G$65)</f>
        <v/>
      </c>
      <c r="E16">
        <f>Company!U17</f>
        <v/>
      </c>
      <c r="F16">
        <f>IF(E16="","",SUMPRODUCT((Quarterly!$A$2:$A$65=A16)*Quarterly!$H$2:$H$65*Quarterly!$G$2:$G$65)/SUMIF(Quarterly!$A$2:$A$65,A16,Quarterly!$G$2:$G$65))</f>
        <v/>
      </c>
      <c r="G16">
        <f>IF(E16="","",SUMIF(Quarterly!$A$2:$A$65,A16,Quarterly!$I$2:$I$65))</f>
        <v/>
      </c>
      <c r="H16">
        <f>Company!H17*10000*Paths!$E$16/100000000</f>
        <v/>
      </c>
      <c r="I16">
        <f>Company!N17</f>
        <v/>
      </c>
      <c r="J16">
        <f>IF(G16="","",(G16+H16)*I16)</f>
        <v/>
      </c>
      <c r="K16">
        <f>IF(J16="","",IF(J16&gt;0,C16/J16,"亏损"))</f>
        <v/>
      </c>
      <c r="L16">
        <f>IF(J16="","",J16/C16)</f>
        <v/>
      </c>
      <c r="M16">
        <f>D16-(C16/Paths!$B$27/I16-H16)*100000000/(Company!T17*10000*Company!G17)</f>
        <v/>
      </c>
      <c r="N16">
        <f>Company!E17*10000*Company!G17/100000000*I16</f>
        <v/>
      </c>
      <c r="O16">
        <f>N16/C16</f>
        <v/>
      </c>
      <c r="P16">
        <f>IF(Company!K17="","",IF(Company!S17=1,(Company!K17+(C16/Paths!$B$25/I16-Company!H17*10000*Paths!$C$16/100000000)/(Company!E17*10000*Company!G17/100000000)-Paths!$C$20*Paths!$C$21)/(1+Paths!$C$19),(Company!K17+(C16/Paths!$B$25/I16-Company!H17*10000*Paths!$C$16/100000000)/(Company!E17*10000*Company!G17/100000000))/(1+Company!M17)))</f>
        <v/>
      </c>
      <c r="Q16">
        <f>IF(Company!K17="","",IF(Company!S17=1,(Company!K17+(C16/Paths!$B$26/I16-Company!H17*10000*Paths!$C$16/100000000)/(Company!E17*10000*Company!G17/100000000)-Paths!$C$20*Paths!$C$21)/(1+Paths!$C$19),(Company!K17+(C16/Paths!$B$26/I16-Company!H17*10000*Paths!$C$16/100000000)/(Company!E17*10000*Company!G17/100000000))/(1+Company!M17)))</f>
        <v/>
      </c>
      <c r="R16">
        <f>N16*(18-Paths!$B$24)*(1+IF(Company!S17=1,Paths!$C$19,Company!M17))</f>
        <v/>
      </c>
      <c r="S16">
        <f>R16/C16</f>
        <v/>
      </c>
    </row>
    <row r="17">
      <c r="A17" t="inlineStr">
        <is>
          <t>SZ002840</t>
        </is>
      </c>
      <c r="B17">
        <f>Company!B18</f>
        <v/>
      </c>
      <c r="C17">
        <f>Company!C18</f>
        <v/>
      </c>
      <c r="D17">
        <f>SUMPRODUCT((Quarterly!$A$2:$A$65=A17)*Quarterly!$E$2:$E$65*Quarterly!$G$2:$G$65)/SUMIF(Quarterly!$A$2:$A$65,A17,Quarterly!$G$2:$G$65)</f>
        <v/>
      </c>
      <c r="E17">
        <f>Company!U18</f>
        <v/>
      </c>
      <c r="F17">
        <f>IF(E17="","",SUMPRODUCT((Quarterly!$A$2:$A$65=A17)*Quarterly!$H$2:$H$65*Quarterly!$G$2:$G$65)/SUMIF(Quarterly!$A$2:$A$65,A17,Quarterly!$G$2:$G$65))</f>
        <v/>
      </c>
      <c r="G17">
        <f>IF(E17="","",SUMIF(Quarterly!$A$2:$A$65,A17,Quarterly!$I$2:$I$65))</f>
        <v/>
      </c>
      <c r="H17">
        <f>Company!H18*10000*Paths!$E$16/100000000</f>
        <v/>
      </c>
      <c r="I17">
        <f>Company!N18</f>
        <v/>
      </c>
      <c r="J17">
        <f>IF(G17="","",(G17+H17)*I17)</f>
        <v/>
      </c>
      <c r="K17">
        <f>IF(J17="","",IF(J17&gt;0,C17/J17,"亏损"))</f>
        <v/>
      </c>
      <c r="L17">
        <f>IF(J17="","",J17/C17)</f>
        <v/>
      </c>
      <c r="M17">
        <f>D17-(C17/Paths!$B$27/I17-H17)*100000000/(Company!T18*10000*Company!G18)</f>
        <v/>
      </c>
      <c r="N17">
        <f>Company!E18*10000*Company!G18/100000000*I17</f>
        <v/>
      </c>
      <c r="O17">
        <f>N17/C17</f>
        <v/>
      </c>
      <c r="P17">
        <f>IF(Company!K18="","",IF(Company!S18=1,(Company!K18+(C17/Paths!$B$25/I17-Company!H18*10000*Paths!$C$16/100000000)/(Company!E18*10000*Company!G18/100000000)-Paths!$C$20*Paths!$C$21)/(1+Paths!$C$19),(Company!K18+(C17/Paths!$B$25/I17-Company!H18*10000*Paths!$C$16/100000000)/(Company!E18*10000*Company!G18/100000000))/(1+Company!M18)))</f>
        <v/>
      </c>
      <c r="Q17">
        <f>IF(Company!K18="","",IF(Company!S18=1,(Company!K18+(C17/Paths!$B$26/I17-Company!H18*10000*Paths!$C$16/100000000)/(Company!E18*10000*Company!G18/100000000)-Paths!$C$20*Paths!$C$21)/(1+Paths!$C$19),(Company!K18+(C17/Paths!$B$26/I17-Company!H18*10000*Paths!$C$16/100000000)/(Company!E18*10000*Company!G18/100000000))/(1+Company!M18)))</f>
        <v/>
      </c>
      <c r="R17">
        <f>N17*(18-Paths!$B$24)*(1+IF(Company!S18=1,Paths!$C$19,Company!M18))</f>
        <v/>
      </c>
      <c r="S17">
        <f>R17/C17</f>
        <v/>
      </c>
    </row>
    <row r="18">
      <c r="A18" t="inlineStr">
        <is>
          <t>SH600975</t>
        </is>
      </c>
      <c r="B18">
        <f>Company!B19</f>
        <v/>
      </c>
      <c r="C18">
        <f>Company!C19</f>
        <v/>
      </c>
      <c r="D18">
        <f>SUMPRODUCT((Quarterly!$A$2:$A$65=A18)*Quarterly!$E$2:$E$65*Quarterly!$G$2:$G$65)/SUMIF(Quarterly!$A$2:$A$65,A18,Quarterly!$G$2:$G$65)</f>
        <v/>
      </c>
      <c r="E18">
        <f>Company!U19</f>
        <v/>
      </c>
      <c r="F18">
        <f>IF(E18="","",SUMPRODUCT((Quarterly!$A$2:$A$65=A18)*Quarterly!$H$2:$H$65*Quarterly!$G$2:$G$65)/SUMIF(Quarterly!$A$2:$A$65,A18,Quarterly!$G$2:$G$65))</f>
        <v/>
      </c>
      <c r="G18">
        <f>IF(E18="","",SUMIF(Quarterly!$A$2:$A$65,A18,Quarterly!$I$2:$I$65))</f>
        <v/>
      </c>
      <c r="H18">
        <f>Company!H19*10000*Paths!$E$16/100000000</f>
        <v/>
      </c>
      <c r="I18">
        <f>Company!N19</f>
        <v/>
      </c>
      <c r="J18">
        <f>IF(G18="","",(G18+H18)*I18)</f>
        <v/>
      </c>
      <c r="K18">
        <f>IF(J18="","",IF(J18&gt;0,C18/J18,"亏损"))</f>
        <v/>
      </c>
      <c r="L18">
        <f>IF(J18="","",J18/C18)</f>
        <v/>
      </c>
      <c r="M18">
        <f>D18-(C18/Paths!$B$27/I18-H18)*100000000/(Company!T19*10000*Company!G19)</f>
        <v/>
      </c>
      <c r="N18">
        <f>Company!E19*10000*Company!G19/100000000*I18</f>
        <v/>
      </c>
      <c r="O18">
        <f>N18/C18</f>
        <v/>
      </c>
      <c r="P18">
        <f>IF(Company!K19="","",IF(Company!S19=1,(Company!K19+(C18/Paths!$B$25/I18-Company!H19*10000*Paths!$C$16/100000000)/(Company!E19*10000*Company!G19/100000000)-Paths!$C$20*Paths!$C$21)/(1+Paths!$C$19),(Company!K19+(C18/Paths!$B$25/I18-Company!H19*10000*Paths!$C$16/100000000)/(Company!E19*10000*Company!G19/100000000))/(1+Company!M19)))</f>
        <v/>
      </c>
      <c r="Q18">
        <f>IF(Company!K19="","",IF(Company!S19=1,(Company!K19+(C18/Paths!$B$26/I18-Company!H19*10000*Paths!$C$16/100000000)/(Company!E19*10000*Company!G19/100000000)-Paths!$C$20*Paths!$C$21)/(1+Paths!$C$19),(Company!K19+(C18/Paths!$B$26/I18-Company!H19*10000*Paths!$C$16/100000000)/(Company!E19*10000*Company!G19/100000000))/(1+Company!M19)))</f>
        <v/>
      </c>
      <c r="R18">
        <f>N18*(18-Paths!$B$24)*(1+IF(Company!S19=1,Paths!$C$19,Company!M19))</f>
        <v/>
      </c>
      <c r="S18">
        <f>R18/C18</f>
        <v/>
      </c>
    </row>
    <row r="19">
      <c r="A19" t="inlineStr">
        <is>
          <t>SZ002157</t>
        </is>
      </c>
      <c r="B19">
        <f>Company!B20</f>
        <v/>
      </c>
      <c r="C19">
        <f>Company!C20</f>
        <v/>
      </c>
      <c r="D19">
        <f>SUMPRODUCT((Quarterly!$A$2:$A$65=A19)*Quarterly!$E$2:$E$65*Quarterly!$G$2:$G$65)/SUMIF(Quarterly!$A$2:$A$65,A19,Quarterly!$G$2:$G$65)</f>
        <v/>
      </c>
      <c r="E19">
        <f>Company!U20</f>
        <v/>
      </c>
      <c r="F19">
        <f>IF(E19="","",SUMPRODUCT((Quarterly!$A$2:$A$65=A19)*Quarterly!$H$2:$H$65*Quarterly!$G$2:$G$65)/SUMIF(Quarterly!$A$2:$A$65,A19,Quarterly!$G$2:$G$65))</f>
        <v/>
      </c>
      <c r="G19">
        <f>IF(E19="","",SUMIF(Quarterly!$A$2:$A$65,A19,Quarterly!$I$2:$I$65))</f>
        <v/>
      </c>
      <c r="H19">
        <f>Company!H20*10000*Paths!$E$16/100000000</f>
        <v/>
      </c>
      <c r="I19">
        <f>Company!N20</f>
        <v/>
      </c>
      <c r="J19">
        <f>IF(G19="","",(G19+H19)*I19)</f>
        <v/>
      </c>
      <c r="K19">
        <f>IF(J19="","",IF(J19&gt;0,C19/J19,"亏损"))</f>
        <v/>
      </c>
      <c r="L19">
        <f>IF(J19="","",J19/C19)</f>
        <v/>
      </c>
      <c r="M19">
        <f>D19-(C19/Paths!$B$27/I19-H19)*100000000/(Company!T20*10000*Company!G20)</f>
        <v/>
      </c>
      <c r="N19">
        <f>Company!E20*10000*Company!G20/100000000*I19</f>
        <v/>
      </c>
      <c r="O19">
        <f>N19/C19</f>
        <v/>
      </c>
      <c r="P19">
        <f>IF(Company!K20="","",IF(Company!S20=1,(Company!K20+(C19/Paths!$B$25/I19-Company!H20*10000*Paths!$C$16/100000000)/(Company!E20*10000*Company!G20/100000000)-Paths!$C$20*Paths!$C$21)/(1+Paths!$C$19),(Company!K20+(C19/Paths!$B$25/I19-Company!H20*10000*Paths!$C$16/100000000)/(Company!E20*10000*Company!G20/100000000))/(1+Company!M20)))</f>
        <v/>
      </c>
      <c r="Q19">
        <f>IF(Company!K20="","",IF(Company!S20=1,(Company!K20+(C19/Paths!$B$26/I19-Company!H20*10000*Paths!$C$16/100000000)/(Company!E20*10000*Company!G20/100000000)-Paths!$C$20*Paths!$C$21)/(1+Paths!$C$19),(Company!K20+(C19/Paths!$B$26/I19-Company!H20*10000*Paths!$C$16/100000000)/(Company!E20*10000*Company!G20/100000000))/(1+Company!M20)))</f>
        <v/>
      </c>
      <c r="R19">
        <f>N19*(18-Paths!$B$24)*(1+IF(Company!S20=1,Paths!$C$19,Company!M20))</f>
        <v/>
      </c>
      <c r="S19">
        <f>R19/C19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30" customWidth="1" min="8" max="8"/>
    <col width="12" customWidth="1" min="9" max="9"/>
    <col width="60" customWidth="1" min="10" max="10"/>
  </cols>
  <sheetData>
    <row r="1">
      <c r="A1" s="1" t="inlineStr">
        <is>
          <t>东瑞股份：售价拆分与“价格优势是否大于成本差距”检验</t>
        </is>
      </c>
    </row>
    <row r="3">
      <c r="A3" t="inlineStr">
        <is>
          <t>一、出口重量占比估算（配额≠销量）</t>
        </is>
      </c>
    </row>
    <row r="4">
      <c r="A4" t="inlineStr">
        <is>
          <t>2026年供港配额（头，截至9-29）</t>
        </is>
      </c>
      <c r="B4" s="4" t="n">
        <v>214484</v>
      </c>
      <c r="C4" t="inlineStr">
        <is>
          <t>事实</t>
        </is>
      </c>
    </row>
    <row r="5">
      <c r="A5" t="inlineStr">
        <is>
          <t>供澳配额（头）</t>
        </is>
      </c>
      <c r="B5" s="4" t="n">
        <v>879</v>
      </c>
      <c r="C5" t="inlineStr">
        <is>
          <t>事实</t>
        </is>
      </c>
    </row>
    <row r="6">
      <c r="A6" t="inlineStr">
        <is>
          <t>配额外供货出口（头，参照2024年出口26.23万−配额完成22.07万）</t>
        </is>
      </c>
      <c r="B6" s="3" t="n">
        <v>41600</v>
      </c>
      <c r="C6" t="inlineStr">
        <is>
          <t>推断</t>
        </is>
      </c>
    </row>
    <row r="7">
      <c r="A7" t="inlineStr">
        <is>
          <t>2027年育肥出栏（万头）</t>
        </is>
      </c>
      <c r="B7" s="3">
        <f>Company!E9</f>
        <v/>
      </c>
      <c r="C7" t="inlineStr">
        <is>
          <t>假设</t>
        </is>
      </c>
    </row>
    <row r="8">
      <c r="A8" t="inlineStr">
        <is>
          <t>出口猪均重/内销猪均重之比</t>
        </is>
      </c>
      <c r="B8" s="3" t="n">
        <v>0.95</v>
      </c>
      <c r="C8" t="inlineStr">
        <is>
          <t>假设</t>
        </is>
      </c>
    </row>
    <row r="9">
      <c r="A9" t="inlineStr">
        <is>
          <t>出口重量占比s（若配额与2026持平）</t>
        </is>
      </c>
      <c r="B9" s="4">
        <f>(B4+B5+B6)*B8/(B7*10000)</f>
        <v/>
      </c>
      <c r="C9" t="inlineStr">
        <is>
          <t>推算</t>
        </is>
      </c>
    </row>
    <row r="11">
      <c r="A11" t="inlineStr">
        <is>
          <t>二、2027年售价矩阵（全国价×内销溢价+出口占比×出口价差），元/公斤</t>
        </is>
      </c>
    </row>
    <row r="12">
      <c r="A12" s="2" t="inlineStr">
        <is>
          <t>全国均价</t>
        </is>
      </c>
      <c r="B12" s="2" t="inlineStr">
        <is>
          <t>熊(d1%,s12%,e1.1)</t>
        </is>
      </c>
      <c r="C12" s="2" t="inlineStr">
        <is>
          <t>基准(d3%,s16%,e2.5)</t>
        </is>
      </c>
      <c r="D12" s="2" t="inlineStr">
        <is>
          <t>牛(d8%,s22%,e4.0)</t>
        </is>
      </c>
      <c r="E12" s="2" t="inlineStr">
        <is>
          <t>牧原同期售价(区域溢价-0.015)</t>
        </is>
      </c>
    </row>
    <row r="13">
      <c r="A13" t="n">
        <v>12</v>
      </c>
      <c r="B13">
        <f>A13*(1+Paths!B$19)+Paths!B$20*Paths!B$21</f>
        <v/>
      </c>
      <c r="C13">
        <f>A13*(1+Paths!C$19)+Paths!C$20*Paths!C$21</f>
        <v/>
      </c>
      <c r="D13">
        <f>A13*(1+Paths!D$19)+Paths!D$20*Paths!D$21</f>
        <v/>
      </c>
      <c r="E13">
        <f>A13*(1+Company!M5)</f>
        <v/>
      </c>
    </row>
    <row r="14">
      <c r="A14" t="n">
        <v>14</v>
      </c>
      <c r="B14">
        <f>A14*(1+Paths!B$19)+Paths!B$20*Paths!B$21</f>
        <v/>
      </c>
      <c r="C14">
        <f>A14*(1+Paths!C$19)+Paths!C$20*Paths!C$21</f>
        <v/>
      </c>
      <c r="D14">
        <f>A14*(1+Paths!D$19)+Paths!D$20*Paths!D$21</f>
        <v/>
      </c>
      <c r="E14">
        <f>A14*(1+Company!M5)</f>
        <v/>
      </c>
    </row>
    <row r="15">
      <c r="A15" t="n">
        <v>16</v>
      </c>
      <c r="B15">
        <f>A15*(1+Paths!B$19)+Paths!B$20*Paths!B$21</f>
        <v/>
      </c>
      <c r="C15">
        <f>A15*(1+Paths!C$19)+Paths!C$20*Paths!C$21</f>
        <v/>
      </c>
      <c r="D15">
        <f>A15*(1+Paths!D$19)+Paths!D$20*Paths!D$21</f>
        <v/>
      </c>
      <c r="E15">
        <f>A15*(1+Company!M5)</f>
        <v/>
      </c>
    </row>
    <row r="16">
      <c r="A16" t="n">
        <v>18</v>
      </c>
      <c r="B16">
        <f>A16*(1+Paths!B$19)+Paths!B$20*Paths!B$21</f>
        <v/>
      </c>
      <c r="C16">
        <f>A16*(1+Paths!C$19)+Paths!C$20*Paths!C$21</f>
        <v/>
      </c>
      <c r="D16">
        <f>A16*(1+Paths!D$19)+Paths!D$20*Paths!D$21</f>
        <v/>
      </c>
      <c r="E16">
        <f>A16*(1+Company!M5)</f>
        <v/>
      </c>
    </row>
    <row r="17">
      <c r="A17" t="n">
        <v>20</v>
      </c>
      <c r="B17">
        <f>A17*(1+Paths!B$19)+Paths!B$20*Paths!B$21</f>
        <v/>
      </c>
      <c r="C17">
        <f>A17*(1+Paths!C$19)+Paths!C$20*Paths!C$21</f>
        <v/>
      </c>
      <c r="D17">
        <f>A17*(1+Paths!D$19)+Paths!D$20*Paths!D$21</f>
        <v/>
      </c>
      <c r="E17">
        <f>A17*(1+Company!M5)</f>
        <v/>
      </c>
    </row>
    <row r="18">
      <c r="A18" t="n">
        <v>22</v>
      </c>
      <c r="B18">
        <f>A18*(1+Paths!B$19)+Paths!B$20*Paths!B$21</f>
        <v/>
      </c>
      <c r="C18">
        <f>A18*(1+Paths!C$19)+Paths!C$20*Paths!C$21</f>
        <v/>
      </c>
      <c r="D18">
        <f>A18*(1+Paths!D$19)+Paths!D$20*Paths!D$21</f>
        <v/>
      </c>
      <c r="E18">
        <f>A18*(1+Company!M5)</f>
        <v/>
      </c>
    </row>
    <row r="20">
      <c r="A20" t="inlineStr">
        <is>
          <t>三、18元下：东瑞相对牧原的价格优势 vs 成本差距（元/公斤）</t>
        </is>
      </c>
    </row>
    <row r="21">
      <c r="A21" s="2" t="inlineStr">
        <is>
          <t>情景</t>
        </is>
      </c>
      <c r="B21" s="2" t="inlineStr">
        <is>
          <t>东瑞售价</t>
        </is>
      </c>
      <c r="C21" s="2" t="inlineStr">
        <is>
          <t>牧原售价</t>
        </is>
      </c>
      <c r="D21" s="2" t="inlineStr">
        <is>
          <t>价格优势</t>
        </is>
      </c>
      <c r="E21" s="2" t="inlineStr">
        <is>
          <t>东瑞成本</t>
        </is>
      </c>
      <c r="F21" s="2" t="inlineStr">
        <is>
          <t>牧原成本</t>
        </is>
      </c>
      <c r="G21" s="2" t="inlineStr">
        <is>
          <t>成本差距</t>
        </is>
      </c>
      <c r="H21" s="2" t="inlineStr">
        <is>
          <t>优势−差距（&gt;0才说明价格优势覆盖成本劣势）</t>
        </is>
      </c>
    </row>
    <row r="22">
      <c r="A22" t="inlineStr">
        <is>
          <t>熊</t>
        </is>
      </c>
      <c r="B22">
        <f>18*(1+Paths!B$19)+Paths!B$20*Paths!B$21</f>
        <v/>
      </c>
      <c r="C22">
        <f>18*(1+Company!M5)</f>
        <v/>
      </c>
      <c r="D22">
        <f>B22-C22</f>
        <v/>
      </c>
      <c r="E22">
        <f>Company!J9</f>
        <v/>
      </c>
      <c r="F22">
        <f>Company!J5</f>
        <v/>
      </c>
      <c r="G22">
        <f>E22-F22</f>
        <v/>
      </c>
      <c r="H22">
        <f>D22-G22</f>
        <v/>
      </c>
    </row>
    <row r="23">
      <c r="A23" t="inlineStr">
        <is>
          <t>基准</t>
        </is>
      </c>
      <c r="B23">
        <f>18*(1+Paths!C$19)+Paths!C$20*Paths!C$21</f>
        <v/>
      </c>
      <c r="C23">
        <f>18*(1+Company!M5)</f>
        <v/>
      </c>
      <c r="D23">
        <f>B23-C23</f>
        <v/>
      </c>
      <c r="E23">
        <f>Company!K9</f>
        <v/>
      </c>
      <c r="F23">
        <f>Company!K5</f>
        <v/>
      </c>
      <c r="G23">
        <f>E23-F23</f>
        <v/>
      </c>
      <c r="H23">
        <f>D23-G23</f>
        <v/>
      </c>
    </row>
    <row r="24">
      <c r="A24" t="inlineStr">
        <is>
          <t>牛</t>
        </is>
      </c>
      <c r="B24">
        <f>18*(1+Paths!D$19)+Paths!D$20*Paths!D$21</f>
        <v/>
      </c>
      <c r="C24">
        <f>18*(1+Company!M5)</f>
        <v/>
      </c>
      <c r="D24">
        <f>B24-C24</f>
        <v/>
      </c>
      <c r="E24">
        <f>Company!L9</f>
        <v/>
      </c>
      <c r="F24">
        <f>Company!L5</f>
        <v/>
      </c>
      <c r="G24">
        <f>E24-F24</f>
        <v/>
      </c>
      <c r="H24">
        <f>D24-G24</f>
        <v/>
      </c>
    </row>
    <row r="26">
      <c r="A26" t="inlineStr">
        <is>
          <t>四、历史：东瑞与牧原的售价差与成本差（事实/推算，元/公斤）</t>
        </is>
      </c>
    </row>
    <row r="27">
      <c r="A27" s="2" t="inlineStr">
        <is>
          <t>年份</t>
        </is>
      </c>
      <c r="B27" s="2" t="inlineStr">
        <is>
          <t>东瑞商品猪均价</t>
        </is>
      </c>
      <c r="C27" s="2" t="inlineStr">
        <is>
          <t>牧原商品猪均价</t>
        </is>
      </c>
      <c r="D27" s="2" t="inlineStr">
        <is>
          <t>价格优势</t>
        </is>
      </c>
      <c r="E27" s="2" t="inlineStr">
        <is>
          <t>东瑞完全成本</t>
        </is>
      </c>
      <c r="F27" s="2" t="inlineStr">
        <is>
          <t>牧原完全成本（约）</t>
        </is>
      </c>
      <c r="G27" s="2" t="inlineStr">
        <is>
          <t>成本差距</t>
        </is>
      </c>
      <c r="H27" s="2" t="inlineStr">
        <is>
          <t>优势−差距</t>
        </is>
      </c>
      <c r="I27" s="2" t="inlineStr">
        <is>
          <t>出口重量占比</t>
        </is>
      </c>
      <c r="J27" s="2" t="inlineStr">
        <is>
          <t>来源/说明</t>
        </is>
      </c>
    </row>
    <row r="28">
      <c r="A28" t="n">
        <v>2022</v>
      </c>
      <c r="B28" t="n">
        <v>23.68</v>
      </c>
      <c r="C28" t="n">
        <v>18.16</v>
      </c>
      <c r="D28">
        <f>B28-C28</f>
        <v/>
      </c>
      <c r="E28" t="n">
        <v>18.1</v>
      </c>
      <c r="F28" t="n">
        <v>15.7</v>
      </c>
      <c r="G28">
        <f>E28-F28</f>
        <v/>
      </c>
      <c r="H28">
        <f>D28-G28</f>
        <v/>
      </c>
      <c r="I28" t="n">
        <v>0.6</v>
      </c>
      <c r="J28" t="inlineStr">
        <is>
          <t>东瑞售价=招股/问询回复表；成本2021末18.6、2022Q1 17.8、Q3 18.4取约18.1。牧原成本：2023-05-17业绩说明会“2022全年平均商品猪完全成本15.7元/kg左右”</t>
        </is>
      </c>
    </row>
    <row r="29">
      <c r="A29" t="n">
        <v>2023</v>
      </c>
      <c r="B29" t="n">
        <v>17.13</v>
      </c>
      <c r="C29" t="n">
        <v>14.42</v>
      </c>
      <c r="D29">
        <f>B29-C29</f>
        <v/>
      </c>
      <c r="E29" t="n">
        <v>17.8</v>
      </c>
      <c r="F29" t="n">
        <v>15</v>
      </c>
      <c r="G29">
        <f>E29-F29</f>
        <v/>
      </c>
      <c r="H29">
        <f>D29-G29</f>
        <v/>
      </c>
      <c r="I29" t="n">
        <v>0.5</v>
      </c>
      <c r="J29" t="inlineStr">
        <is>
          <t>东瑞2023完全成本17.8（正常场口径，2024-03-01纪要）；牧原2024-05-17业绩说明会“2023年…15.0元/kg左右”</t>
        </is>
      </c>
    </row>
    <row r="30">
      <c r="A30" t="n">
        <v>2024</v>
      </c>
      <c r="B30" t="n">
        <v>18.16</v>
      </c>
      <c r="C30" t="n">
        <v>16.45</v>
      </c>
      <c r="D30">
        <f>B30-C30</f>
        <v/>
      </c>
      <c r="E30" t="n">
        <v>16.67</v>
      </c>
      <c r="F30" t="n">
        <v>14</v>
      </c>
      <c r="G30">
        <f>E30-F30</f>
        <v/>
      </c>
      <c r="H30">
        <f>D30-G30</f>
        <v/>
      </c>
      <c r="I30" t="n">
        <v>0.48</v>
      </c>
      <c r="J30" t="inlineStr">
        <is>
          <t>东瑞16.67（2025-01-20纪要）；牧原2025-03-20“全年平均成本在14元/kg左右”</t>
        </is>
      </c>
    </row>
    <row r="31">
      <c r="A31" t="n">
        <v>2025</v>
      </c>
      <c r="B31" t="n">
        <v>14.66</v>
      </c>
      <c r="C31" t="n">
        <v>13.48</v>
      </c>
      <c r="D31">
        <f>B31-C31</f>
        <v/>
      </c>
      <c r="E31" t="n">
        <v>14.6</v>
      </c>
      <c r="F31" t="n">
        <v>12</v>
      </c>
      <c r="G31">
        <f>E31-F31</f>
        <v/>
      </c>
      <c r="H31">
        <f>D31-G31</f>
        <v/>
      </c>
      <c r="I31" t="n">
        <v>0.286</v>
      </c>
      <c r="J31" t="inlineStr">
        <is>
          <t>东瑞H1 15.0、9月14.4、12月13.93，全年取约14.6（推算）；牧原2026-03-28“全年平均成本降至12元/kg左右”</t>
        </is>
      </c>
    </row>
    <row r="32">
      <c r="A32" t="inlineStr">
        <is>
          <t>2026H1</t>
        </is>
      </c>
      <c r="B32" t="n">
        <v>11.41</v>
      </c>
      <c r="C32" t="n">
        <v>10.48</v>
      </c>
      <c r="D32">
        <f>B32-C32</f>
        <v/>
      </c>
      <c r="E32" t="n">
        <v>13.95</v>
      </c>
      <c r="F32" t="n">
        <v>11.7</v>
      </c>
      <c r="G32">
        <f>E32-F32</f>
        <v/>
      </c>
      <c r="H32">
        <f>D32-G32</f>
        <v/>
      </c>
      <c r="I32" t="n">
        <v>0.19</v>
      </c>
      <c r="J32" t="inlineStr">
        <is>
          <t>东瑞H1售价11.41（2026-08-28纪要）、成本13.95（2026-07-14纪要）；牧原1-2月约12、3月11.6、7月11.5，H1取约11.7（推算）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2026年当前状态→2027年18元基准：利润变化的中点拆分（Δ(V·m)=ΔV·m̄+V̄·Δm）</t>
        </is>
      </c>
    </row>
    <row r="2">
      <c r="A2" t="inlineStr">
        <is>
          <t>2026状态：最近年化育肥量、2026年7-9月新牧网全国均价、最新披露成本；2027：全国18元、基准育肥量与成本。融资影响见利息/公斤列（集团口径，饲料型公司偏高）。</t>
        </is>
      </c>
    </row>
    <row r="4">
      <c r="A4" s="2" t="inlineStr">
        <is>
          <t>code</t>
        </is>
      </c>
      <c r="B4" s="2" t="inlineStr">
        <is>
          <t>公司</t>
        </is>
      </c>
      <c r="C4" s="2" t="inlineStr">
        <is>
          <t>V2026</t>
        </is>
      </c>
      <c r="D4" s="2" t="inlineStr">
        <is>
          <t>V2027</t>
        </is>
      </c>
      <c r="E4" s="2" t="inlineStr">
        <is>
          <t>全国价2026</t>
        </is>
      </c>
      <c r="F4" s="2" t="inlineStr">
        <is>
          <t>全国价2027</t>
        </is>
      </c>
      <c r="G4" s="2" t="inlineStr">
        <is>
          <t>区域溢价r或东瑞d</t>
        </is>
      </c>
      <c r="H4" s="2" t="inlineStr">
        <is>
          <t>渠道溢价s×e</t>
        </is>
      </c>
      <c r="I4" s="2" t="inlineStr">
        <is>
          <t>成本2026</t>
        </is>
      </c>
      <c r="J4" s="2" t="inlineStr">
        <is>
          <t>成本2027</t>
        </is>
      </c>
      <c r="K4" s="2" t="inlineStr">
        <is>
          <t>出栏重</t>
        </is>
      </c>
      <c r="L4" s="2" t="inlineStr">
        <is>
          <t>毛利2026(元/kg)</t>
        </is>
      </c>
      <c r="M4" s="2" t="inlineStr">
        <is>
          <t>毛利2027</t>
        </is>
      </c>
      <c r="N4" s="2" t="inlineStr">
        <is>
          <t>养殖利润2026(亿)</t>
        </is>
      </c>
      <c r="O4" s="2" t="inlineStr">
        <is>
          <t>养殖利润2027(亿)</t>
        </is>
      </c>
      <c r="P4" s="2" t="inlineStr">
        <is>
          <t>量贡献</t>
        </is>
      </c>
      <c r="Q4" s="2" t="inlineStr">
        <is>
          <t>全国价贡献</t>
        </is>
      </c>
      <c r="R4" s="2" t="inlineStr">
        <is>
          <t>区域溢价贡献</t>
        </is>
      </c>
      <c r="S4" s="2" t="inlineStr">
        <is>
          <t>渠道溢价贡献</t>
        </is>
      </c>
      <c r="T4" s="2" t="inlineStr">
        <is>
          <t>成本贡献</t>
        </is>
      </c>
      <c r="U4" s="2" t="inlineStr">
        <is>
          <t>合计校验</t>
        </is>
      </c>
      <c r="V4" s="2" t="inlineStr">
        <is>
          <t>利息/公斤(2026H1年化)</t>
        </is>
      </c>
    </row>
    <row r="5">
      <c r="A5" t="inlineStr">
        <is>
          <t>SZ002714</t>
        </is>
      </c>
      <c r="B5" t="inlineStr">
        <is>
          <t>牧原股份</t>
        </is>
      </c>
      <c r="C5" t="n">
        <v>7846.05</v>
      </c>
      <c r="D5" t="n">
        <v>7500</v>
      </c>
      <c r="E5" t="n">
        <v>10.8472</v>
      </c>
      <c r="F5" t="n">
        <v>18</v>
      </c>
      <c r="G5" t="n">
        <v>-0.0145</v>
      </c>
      <c r="H5" t="n">
        <v>0</v>
      </c>
      <c r="I5" t="n">
        <v>11.5</v>
      </c>
      <c r="J5" t="n">
        <v>11.3</v>
      </c>
      <c r="K5" t="n">
        <v>120</v>
      </c>
      <c r="L5">
        <f>E5*(1+G5)+H5-I5</f>
        <v/>
      </c>
      <c r="M5">
        <f>F5*(1+G5)+H5-J5</f>
        <v/>
      </c>
      <c r="N5">
        <f>C5*L5*10000*K5/100000000</f>
        <v/>
      </c>
      <c r="O5">
        <f>D5*M5*10000*K5/100000000</f>
        <v/>
      </c>
      <c r="P5">
        <f>(D5-C5)*(L5+M5)/2*10000*K5/100000000</f>
        <v/>
      </c>
      <c r="Q5">
        <f>(C5+D5)/2*(F5-E5)*10000*K5/100000000</f>
        <v/>
      </c>
      <c r="R5">
        <f>(C5+D5)/2*(F5-E5)*G5*10000*K5/100000000</f>
        <v/>
      </c>
      <c r="S5" t="n">
        <v>0</v>
      </c>
      <c r="T5">
        <f>(C5+D5)/2*(I5-J5)*10000*K5/100000000</f>
        <v/>
      </c>
      <c r="U5">
        <f>SUM(P5:T5)-(O5-N5)</f>
        <v/>
      </c>
      <c r="V5" t="n">
        <v>0.219</v>
      </c>
    </row>
    <row r="6">
      <c r="A6" t="inlineStr">
        <is>
          <t>SZ300498</t>
        </is>
      </c>
      <c r="B6" t="inlineStr">
        <is>
          <t>温氏股份</t>
        </is>
      </c>
      <c r="C6" t="n">
        <v>3534.89</v>
      </c>
      <c r="D6" t="n">
        <v>3500</v>
      </c>
      <c r="E6" t="n">
        <v>10.8472</v>
      </c>
      <c r="F6" t="n">
        <v>18</v>
      </c>
      <c r="G6" t="n">
        <v>-0.0064</v>
      </c>
      <c r="H6" t="n">
        <v>0</v>
      </c>
      <c r="I6" t="n">
        <v>12</v>
      </c>
      <c r="J6" t="n">
        <v>11.7</v>
      </c>
      <c r="K6" t="n">
        <v>120</v>
      </c>
      <c r="L6">
        <f>E6*(1+G6)+H6-I6</f>
        <v/>
      </c>
      <c r="M6">
        <f>F6*(1+G6)+H6-J6</f>
        <v/>
      </c>
      <c r="N6">
        <f>C6*L6*10000*K6/100000000</f>
        <v/>
      </c>
      <c r="O6">
        <f>D6*M6*10000*K6/100000000</f>
        <v/>
      </c>
      <c r="P6">
        <f>(D6-C6)*(L6+M6)/2*10000*K6/100000000</f>
        <v/>
      </c>
      <c r="Q6">
        <f>(C6+D6)/2*(F6-E6)*10000*K6/100000000</f>
        <v/>
      </c>
      <c r="R6">
        <f>(C6+D6)/2*(F6-E6)*G6*10000*K6/100000000</f>
        <v/>
      </c>
      <c r="S6" t="n">
        <v>0</v>
      </c>
      <c r="T6">
        <f>(C6+D6)/2*(I6-J6)*10000*K6/100000000</f>
        <v/>
      </c>
      <c r="U6">
        <f>SUM(P6:T6)-(O6-N6)</f>
        <v/>
      </c>
      <c r="V6" t="n">
        <v>0.187</v>
      </c>
    </row>
    <row r="7">
      <c r="A7" t="inlineStr">
        <is>
          <t>SZ000876</t>
        </is>
      </c>
      <c r="B7" t="inlineStr">
        <is>
          <t>新希望</t>
        </is>
      </c>
      <c r="C7" t="n">
        <v>1430.71</v>
      </c>
      <c r="D7" t="n">
        <v>1450</v>
      </c>
      <c r="E7" t="n">
        <v>10.8472</v>
      </c>
      <c r="F7" t="n">
        <v>18</v>
      </c>
      <c r="G7" t="n">
        <v>-0.0307</v>
      </c>
      <c r="H7" t="n">
        <v>0</v>
      </c>
      <c r="I7" t="n">
        <v>12.5</v>
      </c>
      <c r="J7" t="n">
        <v>12.3</v>
      </c>
      <c r="K7" t="n">
        <v>120</v>
      </c>
      <c r="L7">
        <f>E7*(1+G7)+H7-I7</f>
        <v/>
      </c>
      <c r="M7">
        <f>F7*(1+G7)+H7-J7</f>
        <v/>
      </c>
      <c r="N7">
        <f>C7*L7*10000*K7/100000000</f>
        <v/>
      </c>
      <c r="O7">
        <f>D7*M7*10000*K7/100000000</f>
        <v/>
      </c>
      <c r="P7">
        <f>(D7-C7)*(L7+M7)/2*10000*K7/100000000</f>
        <v/>
      </c>
      <c r="Q7">
        <f>(C7+D7)/2*(F7-E7)*10000*K7/100000000</f>
        <v/>
      </c>
      <c r="R7">
        <f>(C7+D7)/2*(F7-E7)*G7*10000*K7/100000000</f>
        <v/>
      </c>
      <c r="S7" t="n">
        <v>0</v>
      </c>
      <c r="T7">
        <f>(C7+D7)/2*(I7-J7)*10000*K7/100000000</f>
        <v/>
      </c>
      <c r="U7">
        <f>SUM(P7:T7)-(O7-N7)</f>
        <v/>
      </c>
      <c r="V7" t="n">
        <v>1.118</v>
      </c>
    </row>
    <row r="8">
      <c r="A8" t="inlineStr">
        <is>
          <t>SZ002100</t>
        </is>
      </c>
      <c r="B8" t="inlineStr">
        <is>
          <t>天康生物</t>
        </is>
      </c>
      <c r="C8" t="n">
        <v>313.52</v>
      </c>
      <c r="D8" t="n">
        <v>365</v>
      </c>
      <c r="E8" t="n">
        <v>10.8472</v>
      </c>
      <c r="F8" t="n">
        <v>18</v>
      </c>
      <c r="G8" t="n">
        <v>-0.0757</v>
      </c>
      <c r="H8" t="n">
        <v>0</v>
      </c>
      <c r="I8" t="n">
        <v>11.8</v>
      </c>
      <c r="J8" t="n">
        <v>11.8</v>
      </c>
      <c r="K8" t="n">
        <v>120</v>
      </c>
      <c r="L8">
        <f>E8*(1+G8)+H8-I8</f>
        <v/>
      </c>
      <c r="M8">
        <f>F8*(1+G8)+H8-J8</f>
        <v/>
      </c>
      <c r="N8">
        <f>C8*L8*10000*K8/100000000</f>
        <v/>
      </c>
      <c r="O8">
        <f>D8*M8*10000*K8/100000000</f>
        <v/>
      </c>
      <c r="P8">
        <f>(D8-C8)*(L8+M8)/2*10000*K8/100000000</f>
        <v/>
      </c>
      <c r="Q8">
        <f>(C8+D8)/2*(F8-E8)*10000*K8/100000000</f>
        <v/>
      </c>
      <c r="R8">
        <f>(C8+D8)/2*(F8-E8)*G8*10000*K8/100000000</f>
        <v/>
      </c>
      <c r="S8" t="n">
        <v>0</v>
      </c>
      <c r="T8">
        <f>(C8+D8)/2*(I8-J8)*10000*K8/100000000</f>
        <v/>
      </c>
      <c r="U8">
        <f>SUM(P8:T8)-(O8-N8)</f>
        <v/>
      </c>
      <c r="V8" t="n">
        <v>0.269</v>
      </c>
    </row>
    <row r="9">
      <c r="A9" t="inlineStr">
        <is>
          <t>SZ001201</t>
        </is>
      </c>
      <c r="B9" t="inlineStr">
        <is>
          <t>东瑞股份</t>
        </is>
      </c>
      <c r="C9" t="n">
        <v>130</v>
      </c>
      <c r="D9" t="n">
        <v>160</v>
      </c>
      <c r="E9" t="n">
        <v>10.8472</v>
      </c>
      <c r="F9" t="n">
        <v>18</v>
      </c>
      <c r="G9" t="n">
        <v>0.03</v>
      </c>
      <c r="H9" t="n">
        <v>0.4</v>
      </c>
      <c r="I9" t="n">
        <v>13.8</v>
      </c>
      <c r="J9" t="n">
        <v>12.9</v>
      </c>
      <c r="K9" t="n">
        <v>115</v>
      </c>
      <c r="L9">
        <f>E9*(1+G9)+H9-I9</f>
        <v/>
      </c>
      <c r="M9">
        <f>F9*(1+G9)+H9-J9</f>
        <v/>
      </c>
      <c r="N9">
        <f>C9*L9*10000*K9/100000000</f>
        <v/>
      </c>
      <c r="O9">
        <f>D9*M9*10000*K9/100000000</f>
        <v/>
      </c>
      <c r="P9">
        <f>(D9-C9)*(L9+M9)/2*10000*K9/100000000</f>
        <v/>
      </c>
      <c r="Q9">
        <f>(C9+D9)/2*(F9-E9)*10000*K9/100000000</f>
        <v/>
      </c>
      <c r="R9">
        <f>(C9+D9)/2*(F9-E9)*G9*10000*K9/100000000</f>
        <v/>
      </c>
      <c r="S9" t="n">
        <v>0</v>
      </c>
      <c r="T9">
        <f>(C9+D9)/2*(I9-J9)*10000*K9/100000000</f>
        <v/>
      </c>
      <c r="U9">
        <f>SUM(P9:T9)-(O9-N9)</f>
        <v/>
      </c>
      <c r="V9" t="n">
        <v>0.42</v>
      </c>
    </row>
    <row r="10">
      <c r="A10" t="inlineStr">
        <is>
          <t>SZ000048</t>
        </is>
      </c>
      <c r="B10" t="inlineStr">
        <is>
          <t>京基智农</t>
        </is>
      </c>
      <c r="C10" t="n">
        <v>207.73</v>
      </c>
      <c r="D10" t="n">
        <v>210</v>
      </c>
      <c r="E10" t="n">
        <v>10.8472</v>
      </c>
      <c r="F10" t="n">
        <v>18</v>
      </c>
      <c r="G10" t="n">
        <v>0.0214</v>
      </c>
      <c r="H10" t="n">
        <v>0</v>
      </c>
      <c r="I10" t="n">
        <v>13.3</v>
      </c>
      <c r="J10" t="n">
        <v>12.6</v>
      </c>
      <c r="K10" t="n">
        <v>120</v>
      </c>
      <c r="L10">
        <f>E10*(1+G10)+H10-I10</f>
        <v/>
      </c>
      <c r="M10">
        <f>F10*(1+G10)+H10-J10</f>
        <v/>
      </c>
      <c r="N10">
        <f>C10*L10*10000*K10/100000000</f>
        <v/>
      </c>
      <c r="O10">
        <f>D10*M10*10000*K10/100000000</f>
        <v/>
      </c>
      <c r="P10">
        <f>(D10-C10)*(L10+M10)/2*10000*K10/100000000</f>
        <v/>
      </c>
      <c r="Q10">
        <f>(C10+D10)/2*(F10-E10)*10000*K10/100000000</f>
        <v/>
      </c>
      <c r="R10">
        <f>(C10+D10)/2*(F10-E10)*G10*10000*K10/100000000</f>
        <v/>
      </c>
      <c r="S10" t="n">
        <v>0</v>
      </c>
      <c r="T10">
        <f>(C10+D10)/2*(I10-J10)*10000*K10/100000000</f>
        <v/>
      </c>
      <c r="U10">
        <f>SUM(P10:T10)-(O10-N10)</f>
        <v/>
      </c>
      <c r="V10" t="n">
        <v>0.24</v>
      </c>
    </row>
    <row r="11">
      <c r="A11" t="inlineStr">
        <is>
          <t>SH605296</t>
        </is>
      </c>
      <c r="B11" t="inlineStr">
        <is>
          <t>神农集团</t>
        </is>
      </c>
      <c r="C11" t="n">
        <v>354.19</v>
      </c>
      <c r="D11" t="n">
        <v>370</v>
      </c>
      <c r="E11" t="n">
        <v>10.8472</v>
      </c>
      <c r="F11" t="n">
        <v>18</v>
      </c>
      <c r="G11" t="n">
        <v>-0.0479</v>
      </c>
      <c r="H11" t="n">
        <v>0</v>
      </c>
      <c r="I11" t="n">
        <v>12</v>
      </c>
      <c r="J11" t="n">
        <v>11.7</v>
      </c>
      <c r="K11" t="n">
        <v>120</v>
      </c>
      <c r="L11">
        <f>E11*(1+G11)+H11-I11</f>
        <v/>
      </c>
      <c r="M11">
        <f>F11*(1+G11)+H11-J11</f>
        <v/>
      </c>
      <c r="N11">
        <f>C11*L11*10000*K11/100000000</f>
        <v/>
      </c>
      <c r="O11">
        <f>D11*M11*10000*K11/100000000</f>
        <v/>
      </c>
      <c r="P11">
        <f>(D11-C11)*(L11+M11)/2*10000*K11/100000000</f>
        <v/>
      </c>
      <c r="Q11">
        <f>(C11+D11)/2*(F11-E11)*10000*K11/100000000</f>
        <v/>
      </c>
      <c r="R11">
        <f>(C11+D11)/2*(F11-E11)*G11*10000*K11/100000000</f>
        <v/>
      </c>
      <c r="S11" t="n">
        <v>0</v>
      </c>
      <c r="T11">
        <f>(C11+D11)/2*(I11-J11)*10000*K11/100000000</f>
        <v/>
      </c>
      <c r="U11">
        <f>SUM(P11:T11)-(O11-N11)</f>
        <v/>
      </c>
      <c r="V11" t="n">
        <v>0.073</v>
      </c>
    </row>
    <row r="12">
      <c r="A12" t="inlineStr">
        <is>
          <t>SH603477</t>
        </is>
      </c>
      <c r="B12" t="inlineStr">
        <is>
          <t>巨星农牧</t>
        </is>
      </c>
      <c r="C12" t="n">
        <v>426.92</v>
      </c>
      <c r="D12" t="n">
        <v>430</v>
      </c>
      <c r="E12" t="n">
        <v>10.8472</v>
      </c>
      <c r="F12" t="n">
        <v>18</v>
      </c>
      <c r="G12" t="n">
        <v>-0.025</v>
      </c>
      <c r="H12" t="n">
        <v>0</v>
      </c>
      <c r="I12" t="n">
        <v>12.4</v>
      </c>
      <c r="J12" t="n">
        <v>12</v>
      </c>
      <c r="K12" t="n">
        <v>120</v>
      </c>
      <c r="L12">
        <f>E12*(1+G12)+H12-I12</f>
        <v/>
      </c>
      <c r="M12">
        <f>F12*(1+G12)+H12-J12</f>
        <v/>
      </c>
      <c r="N12">
        <f>C12*L12*10000*K12/100000000</f>
        <v/>
      </c>
      <c r="O12">
        <f>D12*M12*10000*K12/100000000</f>
        <v/>
      </c>
      <c r="P12">
        <f>(D12-C12)*(L12+M12)/2*10000*K12/100000000</f>
        <v/>
      </c>
      <c r="Q12">
        <f>(C12+D12)/2*(F12-E12)*10000*K12/100000000</f>
        <v/>
      </c>
      <c r="R12">
        <f>(C12+D12)/2*(F12-E12)*G12*10000*K12/100000000</f>
        <v/>
      </c>
      <c r="S12" t="n">
        <v>0</v>
      </c>
      <c r="T12">
        <f>(C12+D12)/2*(I12-J12)*10000*K12/100000000</f>
        <v/>
      </c>
      <c r="U12">
        <f>SUM(P12:T12)-(O12-N12)</f>
        <v/>
      </c>
      <c r="V12" t="n">
        <v>0.379</v>
      </c>
    </row>
    <row r="13">
      <c r="A13" t="inlineStr">
        <is>
          <t>SZ002567</t>
        </is>
      </c>
      <c r="B13" t="inlineStr">
        <is>
          <t>唐人神</t>
        </is>
      </c>
      <c r="C13" t="n">
        <v>380.33</v>
      </c>
      <c r="D13" t="n">
        <v>360</v>
      </c>
      <c r="E13" t="n">
        <v>10.8472</v>
      </c>
      <c r="F13" t="n">
        <v>18</v>
      </c>
      <c r="G13" t="n">
        <v>0</v>
      </c>
      <c r="H13" t="n">
        <v>0</v>
      </c>
      <c r="I13" t="n">
        <v>12.26</v>
      </c>
      <c r="J13" t="n">
        <v>12.2</v>
      </c>
      <c r="K13" t="n">
        <v>120</v>
      </c>
      <c r="L13">
        <f>E13*(1+G13)+H13-I13</f>
        <v/>
      </c>
      <c r="M13">
        <f>F13*(1+G13)+H13-J13</f>
        <v/>
      </c>
      <c r="N13">
        <f>C13*L13*10000*K13/100000000</f>
        <v/>
      </c>
      <c r="O13">
        <f>D13*M13*10000*K13/100000000</f>
        <v/>
      </c>
      <c r="P13">
        <f>(D13-C13)*(L13+M13)/2*10000*K13/100000000</f>
        <v/>
      </c>
      <c r="Q13">
        <f>(C13+D13)/2*(F13-E13)*10000*K13/100000000</f>
        <v/>
      </c>
      <c r="R13">
        <f>(C13+D13)/2*(F13-E13)*G13*10000*K13/100000000</f>
        <v/>
      </c>
      <c r="S13" t="n">
        <v>0</v>
      </c>
      <c r="T13">
        <f>(C13+D13)/2*(I13-J13)*10000*K13/100000000</f>
        <v/>
      </c>
      <c r="U13">
        <f>SUM(P13:T13)-(O13-N13)</f>
        <v/>
      </c>
      <c r="V13" t="n">
        <v>0.426</v>
      </c>
    </row>
    <row r="14">
      <c r="A14" t="inlineStr">
        <is>
          <t>SZ002385</t>
        </is>
      </c>
      <c r="B14" t="inlineStr">
        <is>
          <t>大北农</t>
        </is>
      </c>
      <c r="C14" t="n">
        <v>395.87</v>
      </c>
      <c r="D14" t="n">
        <v>400</v>
      </c>
      <c r="E14" t="n">
        <v>10.8472</v>
      </c>
      <c r="F14" t="n">
        <v>18</v>
      </c>
      <c r="G14" t="n">
        <v>-0.02</v>
      </c>
      <c r="H14" t="n">
        <v>0</v>
      </c>
      <c r="I14" t="n">
        <v>11.9</v>
      </c>
      <c r="J14" t="n">
        <v>11.9</v>
      </c>
      <c r="K14" t="n">
        <v>120</v>
      </c>
      <c r="L14">
        <f>E14*(1+G14)+H14-I14</f>
        <v/>
      </c>
      <c r="M14">
        <f>F14*(1+G14)+H14-J14</f>
        <v/>
      </c>
      <c r="N14">
        <f>C14*L14*10000*K14/100000000</f>
        <v/>
      </c>
      <c r="O14">
        <f>D14*M14*10000*K14/100000000</f>
        <v/>
      </c>
      <c r="P14">
        <f>(D14-C14)*(L14+M14)/2*10000*K14/100000000</f>
        <v/>
      </c>
      <c r="Q14">
        <f>(C14+D14)/2*(F14-E14)*10000*K14/100000000</f>
        <v/>
      </c>
      <c r="R14">
        <f>(C14+D14)/2*(F14-E14)*G14*10000*K14/100000000</f>
        <v/>
      </c>
      <c r="S14" t="n">
        <v>0</v>
      </c>
      <c r="T14">
        <f>(C14+D14)/2*(I14-J14)*10000*K14/100000000</f>
        <v/>
      </c>
      <c r="U14">
        <f>SUM(P14:T14)-(O14-N14)</f>
        <v/>
      </c>
      <c r="V14" t="n">
        <v>1.34</v>
      </c>
    </row>
    <row r="15">
      <c r="A15" t="inlineStr">
        <is>
          <t>SH603363</t>
        </is>
      </c>
      <c r="B15" t="inlineStr">
        <is>
          <t>傲农生物</t>
        </is>
      </c>
      <c r="C15" t="n">
        <v>136.36</v>
      </c>
      <c r="D15" t="n">
        <v>150</v>
      </c>
      <c r="E15" t="n">
        <v>10.8472</v>
      </c>
      <c r="F15" t="n">
        <v>18</v>
      </c>
      <c r="G15" t="n">
        <v>0</v>
      </c>
      <c r="H15" t="n">
        <v>0</v>
      </c>
      <c r="I15" t="n">
        <v>13</v>
      </c>
      <c r="J15" t="n">
        <v>12.6</v>
      </c>
      <c r="K15" t="n">
        <v>120</v>
      </c>
      <c r="L15">
        <f>E15*(1+G15)+H15-I15</f>
        <v/>
      </c>
      <c r="M15">
        <f>F15*(1+G15)+H15-J15</f>
        <v/>
      </c>
      <c r="N15">
        <f>C15*L15*10000*K15/100000000</f>
        <v/>
      </c>
      <c r="O15">
        <f>D15*M15*10000*K15/100000000</f>
        <v/>
      </c>
      <c r="P15">
        <f>(D15-C15)*(L15+M15)/2*10000*K15/100000000</f>
        <v/>
      </c>
      <c r="Q15">
        <f>(C15+D15)/2*(F15-E15)*10000*K15/100000000</f>
        <v/>
      </c>
      <c r="R15">
        <f>(C15+D15)/2*(F15-E15)*G15*10000*K15/100000000</f>
        <v/>
      </c>
      <c r="S15" t="n">
        <v>0</v>
      </c>
      <c r="T15">
        <f>(C15+D15)/2*(I15-J15)*10000*K15/100000000</f>
        <v/>
      </c>
      <c r="U15">
        <f>SUM(P15:T15)-(O15-N15)</f>
        <v/>
      </c>
      <c r="V15" t="n">
        <v>0.403</v>
      </c>
    </row>
    <row r="16">
      <c r="A16" t="inlineStr">
        <is>
          <t>SZ002124</t>
        </is>
      </c>
      <c r="B16" t="inlineStr">
        <is>
          <t>天邦食品</t>
        </is>
      </c>
      <c r="C16" t="n">
        <v>487.21</v>
      </c>
      <c r="D16" t="n">
        <v>450</v>
      </c>
      <c r="E16" t="n">
        <v>10.8472</v>
      </c>
      <c r="F16" t="n">
        <v>18</v>
      </c>
      <c r="G16" t="n">
        <v>-0.036</v>
      </c>
      <c r="H16" t="n">
        <v>0</v>
      </c>
      <c r="I16" t="n">
        <v>12.65</v>
      </c>
      <c r="J16" t="n">
        <v>12.5</v>
      </c>
      <c r="K16" t="n">
        <v>120</v>
      </c>
      <c r="L16">
        <f>E16*(1+G16)+H16-I16</f>
        <v/>
      </c>
      <c r="M16">
        <f>F16*(1+G16)+H16-J16</f>
        <v/>
      </c>
      <c r="N16">
        <f>C16*L16*10000*K16/100000000</f>
        <v/>
      </c>
      <c r="O16">
        <f>D16*M16*10000*K16/100000000</f>
        <v/>
      </c>
      <c r="P16">
        <f>(D16-C16)*(L16+M16)/2*10000*K16/100000000</f>
        <v/>
      </c>
      <c r="Q16">
        <f>(C16+D16)/2*(F16-E16)*10000*K16/100000000</f>
        <v/>
      </c>
      <c r="R16">
        <f>(C16+D16)/2*(F16-E16)*G16*10000*K16/100000000</f>
        <v/>
      </c>
      <c r="S16" t="n">
        <v>0</v>
      </c>
      <c r="T16">
        <f>(C16+D16)/2*(I16-J16)*10000*K16/100000000</f>
        <v/>
      </c>
      <c r="U16">
        <f>SUM(P16:T16)-(O16-N16)</f>
        <v/>
      </c>
      <c r="V16" t="n">
        <v>0.521</v>
      </c>
    </row>
    <row r="17">
      <c r="A17" t="inlineStr">
        <is>
          <t>SZ002548</t>
        </is>
      </c>
      <c r="B17" t="inlineStr">
        <is>
          <t>金新农</t>
        </is>
      </c>
      <c r="C17" t="n">
        <v>80.16</v>
      </c>
      <c r="D17" t="n">
        <v>85</v>
      </c>
      <c r="E17" t="n">
        <v>10.8472</v>
      </c>
      <c r="F17" t="n">
        <v>18</v>
      </c>
      <c r="G17" t="n">
        <v>0.0191</v>
      </c>
      <c r="H17" t="n">
        <v>0</v>
      </c>
      <c r="I17" t="n">
        <v>12.77</v>
      </c>
      <c r="J17" t="n">
        <v>12.6</v>
      </c>
      <c r="K17" t="n">
        <v>120</v>
      </c>
      <c r="L17">
        <f>E17*(1+G17)+H17-I17</f>
        <v/>
      </c>
      <c r="M17">
        <f>F17*(1+G17)+H17-J17</f>
        <v/>
      </c>
      <c r="N17">
        <f>C17*L17*10000*K17/100000000</f>
        <v/>
      </c>
      <c r="O17">
        <f>D17*M17*10000*K17/100000000</f>
        <v/>
      </c>
      <c r="P17">
        <f>(D17-C17)*(L17+M17)/2*10000*K17/100000000</f>
        <v/>
      </c>
      <c r="Q17">
        <f>(C17+D17)/2*(F17-E17)*10000*K17/100000000</f>
        <v/>
      </c>
      <c r="R17">
        <f>(C17+D17)/2*(F17-E17)*G17*10000*K17/100000000</f>
        <v/>
      </c>
      <c r="S17" t="n">
        <v>0</v>
      </c>
      <c r="T17">
        <f>(C17+D17)/2*(I17-J17)*10000*K17/100000000</f>
        <v/>
      </c>
      <c r="U17">
        <f>SUM(P17:T17)-(O17-N17)</f>
        <v/>
      </c>
      <c r="V17" t="n">
        <v>1.34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40" customWidth="1" min="26" max="26"/>
    <col width="10" customWidth="1" min="27" max="27"/>
    <col width="10" customWidth="1" min="28" max="28"/>
    <col width="60" customWidth="1" min="29" max="29"/>
  </cols>
  <sheetData>
    <row r="1">
      <c r="A1" s="1" t="inlineStr">
        <is>
          <t>筛选快照（市值2026-10-08；资产负债2026-06-30；能繁/成本日期见列）</t>
        </is>
      </c>
    </row>
    <row r="3">
      <c r="A3" s="2" t="inlineStr">
        <is>
          <t>code</t>
        </is>
      </c>
      <c r="B3" s="2" t="inlineStr">
        <is>
          <t>公司</t>
        </is>
      </c>
      <c r="C3" s="2" t="inlineStr">
        <is>
          <t>池</t>
        </is>
      </c>
      <c r="D3" s="2" t="inlineStr">
        <is>
          <t>市值(亿)</t>
        </is>
      </c>
      <c r="E3" s="2" t="inlineStr">
        <is>
          <t>有息负债(亿)</t>
        </is>
      </c>
      <c r="F3" s="2" t="inlineStr">
        <is>
          <t>现金(亿)</t>
        </is>
      </c>
      <c r="G3" s="2" t="inlineStr">
        <is>
          <t>EV(亿)</t>
        </is>
      </c>
      <c r="H3" s="2" t="inlineStr">
        <is>
          <t>资产负债率</t>
        </is>
      </c>
      <c r="I3" s="2" t="inlineStr">
        <is>
          <t>现金/短债</t>
        </is>
      </c>
      <c r="J3" s="2" t="inlineStr">
        <is>
          <t>H1经营现金流(亿)</t>
        </is>
      </c>
      <c r="K3" s="2" t="inlineStr">
        <is>
          <t>H1资本开支(亿)</t>
        </is>
      </c>
      <c r="L3" s="2" t="inlineStr">
        <is>
          <t>H1归母净利(亿)</t>
        </is>
      </c>
      <c r="M3" s="2" t="inlineStr">
        <is>
          <t>能繁(万头)</t>
        </is>
      </c>
      <c r="N3" s="2" t="inlineStr">
        <is>
          <t>能繁日期</t>
        </is>
      </c>
      <c r="O3" s="2" t="inlineStr">
        <is>
          <t>2027育肥基准(万头)</t>
        </is>
      </c>
      <c r="P3" s="2" t="inlineStr">
        <is>
          <t>市值/能繁(万元/头)</t>
        </is>
      </c>
      <c r="Q3" s="2" t="inlineStr">
        <is>
          <t>EV/能繁(万元/头)</t>
        </is>
      </c>
      <c r="R3" s="2" t="inlineStr">
        <is>
          <t>市值/2027育肥(元/头)</t>
        </is>
      </c>
      <c r="S3" s="2" t="inlineStr">
        <is>
          <t>EV/2027育肥(元/头)</t>
        </is>
      </c>
      <c r="T3" s="2" t="inlineStr">
        <is>
          <t>最新售价</t>
        </is>
      </c>
      <c r="U3" s="2" t="inlineStr">
        <is>
          <t>售价月份</t>
        </is>
      </c>
      <c r="V3" s="2" t="inlineStr">
        <is>
          <t>同月全国均价</t>
        </is>
      </c>
      <c r="W3" s="2" t="inlineStr">
        <is>
          <t>售价溢价</t>
        </is>
      </c>
      <c r="X3" s="2" t="inlineStr">
        <is>
          <t>最新成本</t>
        </is>
      </c>
      <c r="Y3" s="2" t="inlineStr">
        <is>
          <t>成本日期</t>
        </is>
      </c>
      <c r="Z3" s="2" t="inlineStr">
        <is>
          <t>成本口径</t>
        </is>
      </c>
      <c r="AA3" s="2" t="inlineStr">
        <is>
          <t>可转债余额(亿)</t>
        </is>
      </c>
      <c r="AB3" s="2" t="inlineStr">
        <is>
          <t>转股价</t>
        </is>
      </c>
      <c r="AC3" s="2" t="inlineStr">
        <is>
          <t>风险标记</t>
        </is>
      </c>
    </row>
    <row r="4">
      <c r="A4" t="inlineStr">
        <is>
          <t>SZ002714</t>
        </is>
      </c>
      <c r="B4" t="inlineStr">
        <is>
          <t>牧原股份</t>
        </is>
      </c>
      <c r="C4" t="inlineStr">
        <is>
          <t>核心</t>
        </is>
      </c>
      <c r="D4" t="n">
        <v>2343.14</v>
      </c>
      <c r="E4" t="n">
        <v>748.02</v>
      </c>
      <c r="F4" t="n">
        <v>165.47</v>
      </c>
      <c r="G4">
        <f>D4+E4-F4</f>
        <v/>
      </c>
      <c r="H4" t="n">
        <v>0.5417999999999999</v>
      </c>
      <c r="I4" t="n">
        <v>0.291</v>
      </c>
      <c r="J4" t="n">
        <v>-22.24</v>
      </c>
      <c r="K4" t="n">
        <v>65.20999999999999</v>
      </c>
      <c r="L4" t="n">
        <v>-60.78</v>
      </c>
      <c r="M4" t="n">
        <v>311.3</v>
      </c>
      <c r="N4" t="inlineStr">
        <is>
          <t>2026-06-30</t>
        </is>
      </c>
      <c r="O4">
        <f>Company!E5</f>
        <v/>
      </c>
      <c r="P4">
        <f>IF(M4="","",D4*10000/M4/10000)</f>
        <v/>
      </c>
      <c r="Q4">
        <f>IF(M4="","",G4*10000/M4/10000)</f>
        <v/>
      </c>
      <c r="R4">
        <f>IF(O4="","",D4*100000000/(O4*10000))</f>
        <v/>
      </c>
      <c r="S4">
        <f>IF(O4="","",G4*100000000/(O4*10000))</f>
        <v/>
      </c>
      <c r="T4" t="n">
        <v>10.3</v>
      </c>
      <c r="U4" t="inlineStr">
        <is>
          <t>2026-08</t>
        </is>
      </c>
      <c r="V4" t="n">
        <v>10.814</v>
      </c>
      <c r="W4">
        <f>IF(OR(T4="",V4=""),"",T4/V4-1)</f>
        <v/>
      </c>
      <c r="X4" t="n">
        <v>11.5</v>
      </c>
      <c r="Y4" t="inlineStr">
        <is>
          <t>2026-07</t>
        </is>
      </c>
      <c r="Z4" t="inlineStr">
        <is>
          <t>生猪养殖完全成本（调研记录）</t>
        </is>
      </c>
      <c r="AC4" t="inlineStr">
        <is>
          <t>H股2026-02上市；能繁调减中</t>
        </is>
      </c>
    </row>
    <row r="5">
      <c r="A5" t="inlineStr">
        <is>
          <t>SZ300498</t>
        </is>
      </c>
      <c r="B5" t="inlineStr">
        <is>
          <t>温氏股份</t>
        </is>
      </c>
      <c r="C5" t="inlineStr">
        <is>
          <t>核心</t>
        </is>
      </c>
      <c r="D5" t="n">
        <v>989.4400000000001</v>
      </c>
      <c r="E5" t="n">
        <v>286.24</v>
      </c>
      <c r="F5" t="n">
        <v>36.75</v>
      </c>
      <c r="G5">
        <f>D5+E5-F5</f>
        <v/>
      </c>
      <c r="H5" t="n">
        <v>0.5894</v>
      </c>
      <c r="I5" t="n">
        <v>0.251</v>
      </c>
      <c r="J5" t="n">
        <v>4.22</v>
      </c>
      <c r="K5" t="n">
        <v>56.8</v>
      </c>
      <c r="L5" t="n">
        <v>-43.66</v>
      </c>
      <c r="O5">
        <f>Company!E6</f>
        <v/>
      </c>
      <c r="P5">
        <f>IF(M5="","",D5*10000/M5/10000)</f>
        <v/>
      </c>
      <c r="Q5">
        <f>IF(M5="","",G5*10000/M5/10000)</f>
        <v/>
      </c>
      <c r="R5">
        <f>IF(O5="","",D5*100000000/(O5*10000))</f>
        <v/>
      </c>
      <c r="S5">
        <f>IF(O5="","",G5*100000000/(O5*10000))</f>
        <v/>
      </c>
      <c r="T5" t="n">
        <v>10.75</v>
      </c>
      <c r="U5" t="inlineStr">
        <is>
          <t>2026-09</t>
        </is>
      </c>
      <c r="V5" t="n">
        <v>10.89</v>
      </c>
      <c r="W5">
        <f>IF(OR(T5="",V5=""),"",T5/V5-1)</f>
        <v/>
      </c>
      <c r="X5" t="n">
        <v>12</v>
      </c>
      <c r="Y5" t="inlineStr">
        <is>
          <t>2026-08</t>
        </is>
      </c>
      <c r="Z5" t="inlineStr">
        <is>
          <t>肉猪养殖综合成本&lt;6.0元/斤（上限，换算元/公斤）</t>
        </is>
      </c>
      <c r="AA5" t="n">
        <v>77.06</v>
      </c>
      <c r="AB5" t="n">
        <v>16.09</v>
      </c>
      <c r="AC5" t="inlineStr">
        <is>
          <t>温氏转债2027-03-28到期；含黄羽鸡业务</t>
        </is>
      </c>
    </row>
    <row r="6">
      <c r="A6" t="inlineStr">
        <is>
          <t>SZ000876</t>
        </is>
      </c>
      <c r="B6" t="inlineStr">
        <is>
          <t>新希望</t>
        </is>
      </c>
      <c r="C6" t="inlineStr">
        <is>
          <t>核心</t>
        </is>
      </c>
      <c r="D6" t="n">
        <v>335.94</v>
      </c>
      <c r="E6" t="n">
        <v>579.09</v>
      </c>
      <c r="F6" t="n">
        <v>79.63</v>
      </c>
      <c r="G6">
        <f>D6+E6-F6</f>
        <v/>
      </c>
      <c r="H6" t="n">
        <v>0.707</v>
      </c>
      <c r="I6" t="n">
        <v>0.388</v>
      </c>
      <c r="J6" t="n">
        <v>16.46</v>
      </c>
      <c r="K6" t="n">
        <v>11.35</v>
      </c>
      <c r="L6" t="n">
        <v>-17.02</v>
      </c>
      <c r="M6" t="n">
        <v>74</v>
      </c>
      <c r="N6" t="inlineStr">
        <is>
          <t>2026年初</t>
        </is>
      </c>
      <c r="O6">
        <f>Company!E7</f>
        <v/>
      </c>
      <c r="P6">
        <f>IF(M6="","",D6*10000/M6/10000)</f>
        <v/>
      </c>
      <c r="Q6">
        <f>IF(M6="","",G6*10000/M6/10000)</f>
        <v/>
      </c>
      <c r="R6">
        <f>IF(O6="","",D6*100000000/(O6*10000))</f>
        <v/>
      </c>
      <c r="S6">
        <f>IF(O6="","",G6*100000000/(O6*10000))</f>
        <v/>
      </c>
      <c r="T6" t="n">
        <v>10.46</v>
      </c>
      <c r="U6" t="inlineStr">
        <is>
          <t>2026-08</t>
        </is>
      </c>
      <c r="V6" t="n">
        <v>10.814</v>
      </c>
      <c r="W6">
        <f>IF(OR(T6="",V6=""),"",T6/V6-1)</f>
        <v/>
      </c>
      <c r="X6" t="n">
        <v>12</v>
      </c>
      <c r="Y6" t="inlineStr">
        <is>
          <t>2026-09</t>
        </is>
      </c>
      <c r="Z6" t="inlineStr">
        <is>
          <t>正常运营场线肥猪完全成本（不含闲置场线，闲置影响&lt;1元/公斤）</t>
        </is>
      </c>
      <c r="AA6" t="n">
        <v>81.43000000000001</v>
      </c>
      <c r="AB6" t="n">
        <v>10.13</v>
      </c>
      <c r="AC6" t="inlineStr">
        <is>
          <t>希望转2 2027-11-01到期；2026-08定增26亿（+4.59亿股）；饲料为主业</t>
        </is>
      </c>
    </row>
    <row r="7">
      <c r="A7" t="inlineStr">
        <is>
          <t>SZ002100</t>
        </is>
      </c>
      <c r="B7" t="inlineStr">
        <is>
          <t>天康生物</t>
        </is>
      </c>
      <c r="C7" t="inlineStr">
        <is>
          <t>核心</t>
        </is>
      </c>
      <c r="D7" t="n">
        <v>104.03</v>
      </c>
      <c r="E7" t="n">
        <v>65.33</v>
      </c>
      <c r="F7" t="n">
        <v>25.35</v>
      </c>
      <c r="G7">
        <f>D7+E7-F7</f>
        <v/>
      </c>
      <c r="H7" t="n">
        <v>0.5556</v>
      </c>
      <c r="I7" t="n">
        <v>0.831</v>
      </c>
      <c r="J7" t="n">
        <v>14.96</v>
      </c>
      <c r="K7" t="n">
        <v>1.52</v>
      </c>
      <c r="L7" t="n">
        <v>-4.41</v>
      </c>
      <c r="M7" t="n">
        <v>19.4</v>
      </c>
      <c r="N7" t="inlineStr">
        <is>
          <t>2026-07-31</t>
        </is>
      </c>
      <c r="O7">
        <f>Company!E8</f>
        <v/>
      </c>
      <c r="P7">
        <f>IF(M7="","",D7*10000/M7/10000)</f>
        <v/>
      </c>
      <c r="Q7">
        <f>IF(M7="","",G7*10000/M7/10000)</f>
        <v/>
      </c>
      <c r="R7">
        <f>IF(O7="","",D7*100000000/(O7*10000))</f>
        <v/>
      </c>
      <c r="S7">
        <f>IF(O7="","",G7*100000000/(O7*10000))</f>
        <v/>
      </c>
      <c r="T7" t="n">
        <v>9.609999999999999</v>
      </c>
      <c r="U7" t="inlineStr">
        <is>
          <t>2026-08</t>
        </is>
      </c>
      <c r="V7" t="n">
        <v>10.814</v>
      </c>
      <c r="W7">
        <f>IF(OR(T7="",V7=""),"",T7/V7-1)</f>
        <v/>
      </c>
      <c r="X7" t="n">
        <v>11.8</v>
      </c>
      <c r="Y7" t="inlineStr">
        <is>
          <t>2026-06</t>
        </is>
      </c>
      <c r="Z7" t="inlineStr">
        <is>
          <t>生猪养殖成本（公司口径，是否含羌都未说明）</t>
        </is>
      </c>
      <c r="AC7" t="inlineStr">
        <is>
          <t>羌都并购（并购贷款约半数）；业绩承诺2025-2027累计≥8.37亿</t>
        </is>
      </c>
    </row>
    <row r="8">
      <c r="A8" t="inlineStr">
        <is>
          <t>SZ001201</t>
        </is>
      </c>
      <c r="B8" t="inlineStr">
        <is>
          <t>东瑞股份</t>
        </is>
      </c>
      <c r="C8" t="inlineStr">
        <is>
          <t>核心</t>
        </is>
      </c>
      <c r="D8" t="n">
        <v>39.6</v>
      </c>
      <c r="E8" t="n">
        <v>24.27</v>
      </c>
      <c r="F8" t="n">
        <v>4.55</v>
      </c>
      <c r="G8">
        <f>D8+E8-F8</f>
        <v/>
      </c>
      <c r="H8" t="n">
        <v>0.5288</v>
      </c>
      <c r="I8" t="n">
        <v>0.29</v>
      </c>
      <c r="J8" t="n">
        <v>-1.38</v>
      </c>
      <c r="K8" t="n">
        <v>0.89</v>
      </c>
      <c r="L8" t="n">
        <v>-4.25</v>
      </c>
      <c r="M8" t="n">
        <v>9.199999999999999</v>
      </c>
      <c r="N8" t="inlineStr">
        <is>
          <t>2026-06-30</t>
        </is>
      </c>
      <c r="O8">
        <f>Company!E9</f>
        <v/>
      </c>
      <c r="P8">
        <f>IF(M8="","",D8*10000/M8/10000)</f>
        <v/>
      </c>
      <c r="Q8">
        <f>IF(M8="","",G8*10000/M8/10000)</f>
        <v/>
      </c>
      <c r="R8">
        <f>IF(O8="","",D8*100000000/(O8*10000))</f>
        <v/>
      </c>
      <c r="S8">
        <f>IF(O8="","",G8*100000000/(O8*10000))</f>
        <v/>
      </c>
      <c r="T8" t="n">
        <v>12.16</v>
      </c>
      <c r="U8" t="inlineStr">
        <is>
          <t>2026-08</t>
        </is>
      </c>
      <c r="V8" t="n">
        <v>10.814</v>
      </c>
      <c r="W8">
        <f>IF(OR(T8="",V8=""),"",T8/V8-1)</f>
        <v/>
      </c>
      <c r="X8" t="n">
        <v>13.8</v>
      </c>
      <c r="Y8" t="inlineStr">
        <is>
          <t>2026-07</t>
        </is>
      </c>
      <c r="Z8" t="inlineStr">
        <is>
          <t>完全成本（代养13.26）</t>
        </is>
      </c>
      <c r="AC8" t="inlineStr">
        <is>
          <t>国家级生猪产能调控基地（自称）；广东能繁约为正常保有量109%（推断）</t>
        </is>
      </c>
    </row>
    <row r="9">
      <c r="A9" t="inlineStr">
        <is>
          <t>SZ000048</t>
        </is>
      </c>
      <c r="B9" t="inlineStr">
        <is>
          <t>京基智农</t>
        </is>
      </c>
      <c r="C9" t="inlineStr">
        <is>
          <t>核心</t>
        </is>
      </c>
      <c r="D9" t="n">
        <v>94.48</v>
      </c>
      <c r="E9" t="n">
        <v>19.75</v>
      </c>
      <c r="F9" t="n">
        <v>6.08</v>
      </c>
      <c r="G9">
        <f>D9+E9-F9</f>
        <v/>
      </c>
      <c r="H9" t="n">
        <v>0.6365</v>
      </c>
      <c r="I9" t="n">
        <v>0.457</v>
      </c>
      <c r="J9" t="n">
        <v>0.41</v>
      </c>
      <c r="K9" t="n">
        <v>0.95</v>
      </c>
      <c r="L9" t="n">
        <v>-4.89</v>
      </c>
      <c r="M9" t="n">
        <v>10.29</v>
      </c>
      <c r="N9" t="inlineStr">
        <is>
          <t>2025-12-31</t>
        </is>
      </c>
      <c r="O9">
        <f>Company!E10</f>
        <v/>
      </c>
      <c r="P9">
        <f>IF(M9="","",D9*10000/M9/10000)</f>
        <v/>
      </c>
      <c r="Q9">
        <f>IF(M9="","",G9*10000/M9/10000)</f>
        <v/>
      </c>
      <c r="R9">
        <f>IF(O9="","",D9*100000000/(O9*10000))</f>
        <v/>
      </c>
      <c r="S9">
        <f>IF(O9="","",G9*100000000/(O9*10000))</f>
        <v/>
      </c>
      <c r="T9" t="n">
        <v>11.06</v>
      </c>
      <c r="U9" t="inlineStr">
        <is>
          <t>2026-09</t>
        </is>
      </c>
      <c r="V9" t="n">
        <v>10.89</v>
      </c>
      <c r="W9">
        <f>IF(OR(T9="",V9=""),"",T9/V9-1)</f>
        <v/>
      </c>
      <c r="X9" t="n">
        <v>13.3</v>
      </c>
      <c r="Y9" t="inlineStr">
        <is>
          <t>2026-03</t>
        </is>
      </c>
      <c r="Z9" t="inlineStr">
        <is>
          <t>生猪养殖完全成本（此后未披露）</t>
        </is>
      </c>
      <c r="AC9" t="inlineStr">
        <is>
          <t>两大股东质押率接近100%</t>
        </is>
      </c>
    </row>
    <row r="10">
      <c r="A10" t="inlineStr">
        <is>
          <t>SH605296</t>
        </is>
      </c>
      <c r="B10" t="inlineStr">
        <is>
          <t>神农集团</t>
        </is>
      </c>
      <c r="C10" t="inlineStr">
        <is>
          <t>核心</t>
        </is>
      </c>
      <c r="D10" t="n">
        <v>158.58</v>
      </c>
      <c r="E10" t="n">
        <v>13.62</v>
      </c>
      <c r="F10" t="n">
        <v>4.5</v>
      </c>
      <c r="G10">
        <f>D10+E10-F10</f>
        <v/>
      </c>
      <c r="H10" t="n">
        <v>0.4075</v>
      </c>
      <c r="I10" t="n">
        <v>0.6820000000000001</v>
      </c>
      <c r="J10" t="n">
        <v>-3.75</v>
      </c>
      <c r="K10" t="n">
        <v>2.81</v>
      </c>
      <c r="L10" t="n">
        <v>-8.09</v>
      </c>
      <c r="O10">
        <f>Company!E11</f>
        <v/>
      </c>
      <c r="P10">
        <f>IF(M10="","",D10*10000/M10/10000)</f>
        <v/>
      </c>
      <c r="Q10">
        <f>IF(M10="","",G10*10000/M10/10000)</f>
        <v/>
      </c>
      <c r="R10">
        <f>IF(O10="","",D10*100000000/(O10*10000))</f>
        <v/>
      </c>
      <c r="S10">
        <f>IF(O10="","",G10*100000000/(O10*10000))</f>
        <v/>
      </c>
      <c r="T10" t="n">
        <v>10.62</v>
      </c>
      <c r="U10" t="inlineStr">
        <is>
          <t>2026-08</t>
        </is>
      </c>
      <c r="V10" t="n">
        <v>10.814</v>
      </c>
      <c r="W10">
        <f>IF(OR(T10="",V10=""),"",T10/V10-1)</f>
        <v/>
      </c>
      <c r="X10" t="n">
        <v>12</v>
      </c>
      <c r="Y10" t="inlineStr">
        <is>
          <t>2026-07</t>
        </is>
      </c>
      <c r="Z10" t="inlineStr">
        <is>
          <t>完全成本</t>
        </is>
      </c>
      <c r="AC10" t="inlineStr">
        <is>
          <t>实控人离婚诉讼涉及股权分割风险</t>
        </is>
      </c>
    </row>
    <row r="11">
      <c r="A11" t="inlineStr">
        <is>
          <t>SH603477</t>
        </is>
      </c>
      <c r="B11" t="inlineStr">
        <is>
          <t>巨星农牧</t>
        </is>
      </c>
      <c r="C11" t="inlineStr">
        <is>
          <t>核心</t>
        </is>
      </c>
      <c r="D11" t="n">
        <v>71.91</v>
      </c>
      <c r="E11" t="n">
        <v>37.45</v>
      </c>
      <c r="F11" t="n">
        <v>6.94</v>
      </c>
      <c r="G11">
        <f>D11+E11-F11</f>
        <v/>
      </c>
      <c r="H11" t="n">
        <v>0.694</v>
      </c>
      <c r="I11" t="n">
        <v>0.345</v>
      </c>
      <c r="J11" t="n">
        <v>-2.86</v>
      </c>
      <c r="K11" t="n">
        <v>1.6</v>
      </c>
      <c r="L11" t="n">
        <v>-8.380000000000001</v>
      </c>
      <c r="O11">
        <f>Company!E12</f>
        <v/>
      </c>
      <c r="P11">
        <f>IF(M11="","",D11*10000/M11/10000)</f>
        <v/>
      </c>
      <c r="Q11">
        <f>IF(M11="","",G11*10000/M11/10000)</f>
        <v/>
      </c>
      <c r="R11">
        <f>IF(O11="","",D11*100000000/(O11*10000))</f>
        <v/>
      </c>
      <c r="S11">
        <f>IF(O11="","",G11*100000000/(O11*10000))</f>
        <v/>
      </c>
      <c r="T11" t="n">
        <v>11.05</v>
      </c>
      <c r="U11" t="inlineStr">
        <is>
          <t>2026-09</t>
        </is>
      </c>
      <c r="V11" t="n">
        <v>10.89</v>
      </c>
      <c r="W11">
        <f>IF(OR(T11="",V11=""),"",T11/V11-1)</f>
        <v/>
      </c>
      <c r="X11" t="n">
        <v>12.4</v>
      </c>
      <c r="Y11" t="inlineStr">
        <is>
          <t>2026-07</t>
        </is>
      </c>
      <c r="Z11" t="inlineStr">
        <is>
          <t>商品肥猪完全成本&lt;6.2元/斤（上限，换算）</t>
        </is>
      </c>
      <c r="AA11" t="n">
        <v>9</v>
      </c>
      <c r="AB11" t="n">
        <v>24.84</v>
      </c>
      <c r="AC11" t="inlineStr">
        <is>
          <t>巨星转债2028-04到期；控股股东质押61.58%</t>
        </is>
      </c>
    </row>
    <row r="12">
      <c r="A12" t="inlineStr">
        <is>
          <t>SZ002567</t>
        </is>
      </c>
      <c r="B12" t="inlineStr">
        <is>
          <t>唐人神</t>
        </is>
      </c>
      <c r="C12" t="inlineStr">
        <is>
          <t>核心</t>
        </is>
      </c>
      <c r="D12" t="n">
        <v>51.88</v>
      </c>
      <c r="E12" t="n">
        <v>61.18</v>
      </c>
      <c r="F12" t="n">
        <v>21.1</v>
      </c>
      <c r="G12">
        <f>D12+E12-F12</f>
        <v/>
      </c>
      <c r="H12" t="n">
        <v>0.711</v>
      </c>
      <c r="I12" t="n">
        <v>0.85</v>
      </c>
      <c r="J12" t="n">
        <v>-0.66</v>
      </c>
      <c r="K12" t="n">
        <v>1.14</v>
      </c>
      <c r="L12" t="n">
        <v>-10.46</v>
      </c>
      <c r="O12">
        <f>Company!E13</f>
        <v/>
      </c>
      <c r="P12">
        <f>IF(M12="","",D12*10000/M12/10000)</f>
        <v/>
      </c>
      <c r="Q12">
        <f>IF(M12="","",G12*10000/M12/10000)</f>
        <v/>
      </c>
      <c r="R12">
        <f>IF(O12="","",D12*100000000/(O12*10000))</f>
        <v/>
      </c>
      <c r="S12">
        <f>IF(O12="","",G12*100000000/(O12*10000))</f>
        <v/>
      </c>
      <c r="W12">
        <f>IF(OR(T12="",V12=""),"",T12/V12-1)</f>
        <v/>
      </c>
      <c r="X12" t="n">
        <v>11.9</v>
      </c>
      <c r="Y12" t="inlineStr">
        <is>
          <t>2026Q2</t>
        </is>
      </c>
      <c r="Z12" t="inlineStr">
        <is>
          <t>Q1营业总成本12.66元/公斤，Q2环比-0.8（推算值）</t>
        </is>
      </c>
      <c r="AC12" t="inlineStr">
        <is>
          <t>未弥补亏损超股本1/3；担保占净资产124%</t>
        </is>
      </c>
    </row>
    <row r="13">
      <c r="A13" t="inlineStr">
        <is>
          <t>SZ002385</t>
        </is>
      </c>
      <c r="B13" t="inlineStr">
        <is>
          <t>大北农</t>
        </is>
      </c>
      <c r="C13" t="inlineStr">
        <is>
          <t>核心</t>
        </is>
      </c>
      <c r="D13" t="n">
        <v>132.87</v>
      </c>
      <c r="E13" t="n">
        <v>135.45</v>
      </c>
      <c r="F13" t="n">
        <v>32.81</v>
      </c>
      <c r="G13">
        <f>D13+E13-F13</f>
        <v/>
      </c>
      <c r="H13" t="n">
        <v>0.6989</v>
      </c>
      <c r="I13" t="n">
        <v>0.314</v>
      </c>
      <c r="J13" t="n">
        <v>-12.25</v>
      </c>
      <c r="K13" t="n">
        <v>2.25</v>
      </c>
      <c r="L13" t="n">
        <v>-6.77</v>
      </c>
      <c r="O13">
        <f>Company!E14</f>
        <v/>
      </c>
      <c r="P13">
        <f>IF(M13="","",D13*10000/M13/10000)</f>
        <v/>
      </c>
      <c r="Q13">
        <f>IF(M13="","",G13*10000/M13/10000)</f>
        <v/>
      </c>
      <c r="R13">
        <f>IF(O13="","",D13*100000000/(O13*10000))</f>
        <v/>
      </c>
      <c r="S13">
        <f>IF(O13="","",G13*100000000/(O13*10000))</f>
        <v/>
      </c>
      <c r="T13" t="n">
        <v>10.95</v>
      </c>
      <c r="U13" t="inlineStr">
        <is>
          <t>2026-08</t>
        </is>
      </c>
      <c r="V13" t="n">
        <v>10.814</v>
      </c>
      <c r="W13">
        <f>IF(OR(T13="",V13=""),"",T13/V13-1)</f>
        <v/>
      </c>
      <c r="X13" t="n">
        <v>11.9</v>
      </c>
      <c r="Y13" t="inlineStr">
        <is>
          <t>2026-08</t>
        </is>
      </c>
      <c r="Z13" t="inlineStr">
        <is>
          <t>育肥猪完全成本略低于12元/公斤</t>
        </is>
      </c>
      <c r="AC13" t="inlineStr">
        <is>
          <t>饲料为主业；担保占净资产189%</t>
        </is>
      </c>
    </row>
    <row r="14">
      <c r="A14" t="inlineStr">
        <is>
          <t>SZ002840</t>
        </is>
      </c>
      <c r="B14" t="inlineStr">
        <is>
          <t>华统股份</t>
        </is>
      </c>
      <c r="C14" t="inlineStr">
        <is>
          <t>核心</t>
        </is>
      </c>
      <c r="D14" t="n">
        <v>63.45</v>
      </c>
      <c r="E14" t="n">
        <v>50.52</v>
      </c>
      <c r="F14" t="n">
        <v>19.96</v>
      </c>
      <c r="G14">
        <f>D14+E14-F14</f>
        <v/>
      </c>
      <c r="H14" t="n">
        <v>0.6702</v>
      </c>
      <c r="I14" t="n">
        <v>0.497</v>
      </c>
      <c r="J14" t="n">
        <v>-0.9</v>
      </c>
      <c r="K14" t="n">
        <v>2.48</v>
      </c>
      <c r="L14" t="n">
        <v>-4.76</v>
      </c>
      <c r="O14">
        <f>Company!E18</f>
        <v/>
      </c>
      <c r="P14">
        <f>IF(M14="","",D14*10000/M14/10000)</f>
        <v/>
      </c>
      <c r="Q14">
        <f>IF(M14="","",G14*10000/M14/10000)</f>
        <v/>
      </c>
      <c r="R14">
        <f>IF(O14="","",D14*100000000/(O14*10000))</f>
        <v/>
      </c>
      <c r="S14">
        <f>IF(O14="","",G14*100000000/(O14*10000))</f>
        <v/>
      </c>
      <c r="T14" t="n">
        <v>10.74</v>
      </c>
      <c r="U14" t="inlineStr">
        <is>
          <t>2026-08</t>
        </is>
      </c>
      <c r="V14" t="n">
        <v>10.814</v>
      </c>
      <c r="W14">
        <f>IF(OR(T14="",V14=""),"",T14/V14-1)</f>
        <v/>
      </c>
      <c r="Z14" t="inlineStr">
        <is>
          <t>未披露任何养殖成本</t>
        </is>
      </c>
      <c r="AC14" t="inlineStr">
        <is>
          <t>屠宰为主；副总经理被采取强制措施</t>
        </is>
      </c>
    </row>
    <row r="15">
      <c r="A15" t="inlineStr">
        <is>
          <t>SH600975</t>
        </is>
      </c>
      <c r="B15" t="inlineStr">
        <is>
          <t>新五丰</t>
        </is>
      </c>
      <c r="C15" t="inlineStr">
        <is>
          <t>核心</t>
        </is>
      </c>
      <c r="D15" t="n">
        <v>63.61</v>
      </c>
      <c r="E15" t="n">
        <v>73.48999999999999</v>
      </c>
      <c r="F15" t="n">
        <v>6.08</v>
      </c>
      <c r="G15">
        <f>D15+E15-F15</f>
        <v/>
      </c>
      <c r="H15" t="n">
        <v>0.8417</v>
      </c>
      <c r="I15" t="n">
        <v>0.503</v>
      </c>
      <c r="J15" t="n">
        <v>-3.46</v>
      </c>
      <c r="K15" t="n">
        <v>0.21</v>
      </c>
      <c r="L15" t="n">
        <v>-7.36</v>
      </c>
      <c r="M15" t="n">
        <v>22.09</v>
      </c>
      <c r="N15" t="inlineStr">
        <is>
          <t>2026-06-30</t>
        </is>
      </c>
      <c r="O15">
        <f>Company!E19</f>
        <v/>
      </c>
      <c r="P15">
        <f>IF(M15="","",D15*10000/M15/10000)</f>
        <v/>
      </c>
      <c r="Q15">
        <f>IF(M15="","",G15*10000/M15/10000)</f>
        <v/>
      </c>
      <c r="R15">
        <f>IF(O15="","",D15*100000000/(O15*10000))</f>
        <v/>
      </c>
      <c r="S15">
        <f>IF(O15="","",G15*100000000/(O15*10000))</f>
        <v/>
      </c>
      <c r="T15" t="n">
        <v>10.35</v>
      </c>
      <c r="U15" t="inlineStr">
        <is>
          <t>2026-08</t>
        </is>
      </c>
      <c r="V15" t="n">
        <v>10.814</v>
      </c>
      <c r="W15">
        <f>IF(OR(T15="",V15=""),"",T15/V15-1)</f>
        <v/>
      </c>
      <c r="Z15" t="inlineStr">
        <is>
          <t>未披露绝对值（H1同比-8%）</t>
        </is>
      </c>
      <c r="AC15" t="inlineStr">
        <is>
          <t>租赁负债46.95亿；负债率84.2%（剔除租赁约67%）</t>
        </is>
      </c>
    </row>
    <row r="16">
      <c r="A16" t="inlineStr">
        <is>
          <t>SH603363</t>
        </is>
      </c>
      <c r="B16" t="inlineStr">
        <is>
          <t>傲农生物</t>
        </is>
      </c>
      <c r="C16" t="inlineStr">
        <is>
          <t>核心</t>
        </is>
      </c>
      <c r="D16" t="n">
        <v>75.92</v>
      </c>
      <c r="E16" t="n">
        <v>23.8</v>
      </c>
      <c r="F16" t="n">
        <v>4.75</v>
      </c>
      <c r="G16">
        <f>D16+E16-F16</f>
        <v/>
      </c>
      <c r="H16" t="n">
        <v>0.6208</v>
      </c>
      <c r="I16" t="n">
        <v>0.489</v>
      </c>
      <c r="J16" t="n">
        <v>-3.29</v>
      </c>
      <c r="K16" t="n">
        <v>0.68</v>
      </c>
      <c r="L16" t="n">
        <v>-1.9</v>
      </c>
      <c r="M16" t="n">
        <v>10.76</v>
      </c>
      <c r="N16" t="inlineStr">
        <is>
          <t>2026-06-30</t>
        </is>
      </c>
      <c r="O16">
        <f>Company!E15</f>
        <v/>
      </c>
      <c r="P16">
        <f>IF(M16="","",D16*10000/M16/10000)</f>
        <v/>
      </c>
      <c r="Q16">
        <f>IF(M16="","",G16*10000/M16/10000)</f>
        <v/>
      </c>
      <c r="R16">
        <f>IF(O16="","",D16*100000000/(O16*10000))</f>
        <v/>
      </c>
      <c r="S16">
        <f>IF(O16="","",G16*100000000/(O16*10000))</f>
        <v/>
      </c>
      <c r="W16">
        <f>IF(OR(T16="",V16=""),"",T16/V16-1)</f>
        <v/>
      </c>
      <c r="Z16" t="inlineStr">
        <is>
          <t>实际未披露（目标育肥12.25）</t>
        </is>
      </c>
      <c r="AC16" t="inlineStr">
        <is>
          <t>2024-12重整完毕；H1养殖毛利率-18.92%</t>
        </is>
      </c>
    </row>
    <row r="17">
      <c r="A17" t="inlineStr">
        <is>
          <t>SZ002124</t>
        </is>
      </c>
      <c r="B17" t="inlineStr">
        <is>
          <t>天邦食品</t>
        </is>
      </c>
      <c r="C17" t="inlineStr">
        <is>
          <t>核心（存续待定）</t>
        </is>
      </c>
      <c r="D17" t="n">
        <v>43.33</v>
      </c>
      <c r="E17" t="n">
        <v>48.4</v>
      </c>
      <c r="F17" t="n">
        <v>1.55</v>
      </c>
      <c r="G17">
        <f>D17+E17-F17</f>
        <v/>
      </c>
      <c r="H17" t="n">
        <v>0.9122</v>
      </c>
      <c r="I17" t="n">
        <v>0.044</v>
      </c>
      <c r="J17" t="n">
        <v>2.71</v>
      </c>
      <c r="K17" t="n">
        <v>0.5</v>
      </c>
      <c r="L17" t="n">
        <v>-15.43</v>
      </c>
      <c r="O17">
        <f>Company!E16</f>
        <v/>
      </c>
      <c r="P17">
        <f>IF(M17="","",D17*10000/M17/10000)</f>
        <v/>
      </c>
      <c r="Q17">
        <f>IF(M17="","",G17*10000/M17/10000)</f>
        <v/>
      </c>
      <c r="R17">
        <f>IF(O17="","",D17*100000000/(O17*10000))</f>
        <v/>
      </c>
      <c r="S17">
        <f>IF(O17="","",G17*100000000/(O17*10000))</f>
        <v/>
      </c>
      <c r="T17" t="n">
        <v>10.14</v>
      </c>
      <c r="U17" t="inlineStr">
        <is>
          <t>2026-08</t>
        </is>
      </c>
      <c r="V17" t="n">
        <v>10.814</v>
      </c>
      <c r="W17">
        <f>IF(OR(T17="",V17=""),"",T17/V17-1)</f>
        <v/>
      </c>
      <c r="X17" t="n">
        <v>12.65</v>
      </c>
      <c r="Y17" t="inlineStr">
        <is>
          <t>2026H1</t>
        </is>
      </c>
      <c r="Z17" t="inlineStr">
        <is>
          <t>育肥完全成本（含空栏0.31）</t>
        </is>
      </c>
      <c r="AC17" t="inlineStr">
        <is>
          <t>预重整至2026-11-09；投资人9/18解约；持续经营重大不确定性；负债率91%</t>
        </is>
      </c>
    </row>
    <row r="18">
      <c r="A18" t="inlineStr">
        <is>
          <t>SZ002548</t>
        </is>
      </c>
      <c r="B18" t="inlineStr">
        <is>
          <t>金新农</t>
        </is>
      </c>
      <c r="C18" t="inlineStr">
        <is>
          <t>核心</t>
        </is>
      </c>
      <c r="D18" t="n">
        <v>31.88</v>
      </c>
      <c r="E18" t="n">
        <v>28.92</v>
      </c>
      <c r="F18" t="n">
        <v>2.36</v>
      </c>
      <c r="G18">
        <f>D18+E18-F18</f>
        <v/>
      </c>
      <c r="H18" t="n">
        <v>0.8149999999999999</v>
      </c>
      <c r="I18" t="n">
        <v>0.104</v>
      </c>
      <c r="J18" t="n">
        <v>0.5</v>
      </c>
      <c r="K18" t="n">
        <v>1.06</v>
      </c>
      <c r="L18" t="n">
        <v>-3.88</v>
      </c>
      <c r="M18" t="n">
        <v>4.48</v>
      </c>
      <c r="N18" t="inlineStr">
        <is>
          <t>2026-03-31</t>
        </is>
      </c>
      <c r="O18">
        <f>Company!E17</f>
        <v/>
      </c>
      <c r="P18">
        <f>IF(M18="","",D18*10000/M18/10000)</f>
        <v/>
      </c>
      <c r="Q18">
        <f>IF(M18="","",G18*10000/M18/10000)</f>
        <v/>
      </c>
      <c r="R18">
        <f>IF(O18="","",D18*100000000/(O18*10000))</f>
        <v/>
      </c>
      <c r="S18">
        <f>IF(O18="","",G18*100000000/(O18*10000))</f>
        <v/>
      </c>
      <c r="T18" t="n">
        <v>11.64</v>
      </c>
      <c r="U18" t="inlineStr">
        <is>
          <t>2026-08</t>
        </is>
      </c>
      <c r="V18" t="n">
        <v>10.814</v>
      </c>
      <c r="W18">
        <f>IF(OR(T18="",V18=""),"",T18/V18-1)</f>
        <v/>
      </c>
      <c r="X18" t="n">
        <v>12.77</v>
      </c>
      <c r="Y18" t="inlineStr">
        <is>
          <t>2026-04</t>
        </is>
      </c>
      <c r="Z18" t="inlineStr">
        <is>
          <t>商品猪销售成本</t>
        </is>
      </c>
      <c r="AC18" t="inlineStr">
        <is>
          <t>负债率81.5%；未分配利润-20.59亿</t>
        </is>
      </c>
    </row>
    <row r="19">
      <c r="A19" t="inlineStr">
        <is>
          <t>SZ002157</t>
        </is>
      </c>
      <c r="B19" t="inlineStr">
        <is>
          <t>正邦科技</t>
        </is>
      </c>
      <c r="C19" t="inlineStr">
        <is>
          <t>核心（重整后）</t>
        </is>
      </c>
      <c r="D19" t="n">
        <v>266.4</v>
      </c>
      <c r="E19" t="n">
        <v>40.67</v>
      </c>
      <c r="F19" t="n">
        <v>16.97</v>
      </c>
      <c r="G19">
        <f>D19+E19-F19</f>
        <v/>
      </c>
      <c r="H19" t="n">
        <v>0.5346</v>
      </c>
      <c r="I19" t="n">
        <v>2.433</v>
      </c>
      <c r="J19" t="n">
        <v>-4.07</v>
      </c>
      <c r="K19" t="n">
        <v>6.94</v>
      </c>
      <c r="L19" t="n">
        <v>-7.36</v>
      </c>
      <c r="O19">
        <f>Company!E20</f>
        <v/>
      </c>
      <c r="P19">
        <f>IF(M19="","",D19*10000/M19/10000)</f>
        <v/>
      </c>
      <c r="Q19">
        <f>IF(M19="","",G19*10000/M19/10000)</f>
        <v/>
      </c>
      <c r="R19">
        <f>IF(O19="","",D19*100000000/(O19*10000))</f>
        <v/>
      </c>
      <c r="S19">
        <f>IF(O19="","",G19*100000000/(O19*10000))</f>
        <v/>
      </c>
      <c r="T19" t="n">
        <v>11.14</v>
      </c>
      <c r="U19" t="inlineStr">
        <is>
          <t>2026-08</t>
        </is>
      </c>
      <c r="V19" t="n">
        <v>10.814</v>
      </c>
      <c r="W19">
        <f>IF(OR(T19="",V19=""),"",T19/V19-1)</f>
        <v/>
      </c>
      <c r="Z19" t="inlineStr">
        <is>
          <t>未披露</t>
        </is>
      </c>
      <c r="AC19" t="inlineStr">
        <is>
          <t>2023重整；双胞胎控股；资产注入未交割</t>
        </is>
      </c>
    </row>
    <row r="20">
      <c r="A20" t="inlineStr">
        <is>
          <t>SH603717</t>
        </is>
      </c>
      <c r="B20" t="inlineStr">
        <is>
          <t>天域生物</t>
        </is>
      </c>
      <c r="C20" t="inlineStr">
        <is>
          <t>扩展</t>
        </is>
      </c>
      <c r="D20" t="n">
        <v>17.47</v>
      </c>
      <c r="E20" t="n">
        <v>10.49</v>
      </c>
      <c r="F20" t="n">
        <v>1.35</v>
      </c>
      <c r="G20">
        <f>D20+E20-F20</f>
        <v/>
      </c>
      <c r="H20" t="n">
        <v>0.8099</v>
      </c>
      <c r="I20" t="n">
        <v>0.491</v>
      </c>
      <c r="J20" t="n">
        <v>-0.05</v>
      </c>
      <c r="K20" t="n">
        <v>0.05</v>
      </c>
      <c r="L20" t="n">
        <v>-0.54</v>
      </c>
      <c r="P20">
        <f>IF(M20="","",D20*10000/M20/10000)</f>
        <v/>
      </c>
      <c r="Q20">
        <f>IF(M20="","",G20*10000/M20/10000)</f>
        <v/>
      </c>
      <c r="R20">
        <f>IF(O20="","",D20*100000000/(O20*10000))</f>
        <v/>
      </c>
      <c r="S20">
        <f>IF(O20="","",G20*100000000/(O20*10000))</f>
        <v/>
      </c>
      <c r="W20">
        <f>IF(OR(T20="",V20=""),"",T20/V20-1)</f>
        <v/>
      </c>
      <c r="Z20" t="inlineStr">
        <is>
          <t>未披露</t>
        </is>
      </c>
      <c r="AC20" t="inlineStr">
        <is>
          <t>负债率81%；担保超过净资产100%</t>
        </is>
      </c>
    </row>
    <row r="21">
      <c r="A21" t="inlineStr">
        <is>
          <t>SZ000735</t>
        </is>
      </c>
      <c r="B21" t="inlineStr">
        <is>
          <t>罗牛山</t>
        </is>
      </c>
      <c r="C21" t="inlineStr">
        <is>
          <t>剔除（多元化）</t>
        </is>
      </c>
      <c r="D21" t="n">
        <v>64.59999999999999</v>
      </c>
      <c r="E21" t="n">
        <v>19.18</v>
      </c>
      <c r="F21" t="n">
        <v>4.11</v>
      </c>
      <c r="G21">
        <f>D21+E21-F21</f>
        <v/>
      </c>
      <c r="H21" t="n">
        <v>0.5233</v>
      </c>
      <c r="I21" t="n">
        <v>0.412</v>
      </c>
      <c r="J21" t="n">
        <v>-1.38</v>
      </c>
      <c r="K21" t="n">
        <v>0.68</v>
      </c>
      <c r="L21" t="n">
        <v>-3.1</v>
      </c>
      <c r="P21">
        <f>IF(M21="","",D21*10000/M21/10000)</f>
        <v/>
      </c>
      <c r="Q21">
        <f>IF(M21="","",G21*10000/M21/10000)</f>
        <v/>
      </c>
      <c r="R21">
        <f>IF(O21="","",D21*100000000/(O21*10000))</f>
        <v/>
      </c>
      <c r="S21">
        <f>IF(O21="","",G21*100000000/(O21*10000))</f>
        <v/>
      </c>
      <c r="W21">
        <f>IF(OR(T21="",V21=""),"",T21/V21-1)</f>
        <v/>
      </c>
      <c r="Z21" t="inlineStr">
        <is>
          <t>未披露</t>
        </is>
      </c>
      <c r="AC21" t="inlineStr">
        <is>
          <t>地产、教育等多元业务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情景归母利润敏感性（亿元）：全年全国均价 × 2027完全成本（基准育肥量、基准仔猪毛利；东瑞用基准d/s/e）</t>
        </is>
      </c>
    </row>
    <row r="3">
      <c r="A3" s="1">
        <f>Company!B5</f>
        <v/>
      </c>
      <c r="B3" t="inlineStr">
        <is>
          <t>成本→</t>
        </is>
      </c>
      <c r="C3" t="n">
        <v>10.3</v>
      </c>
      <c r="D3" t="n">
        <v>10.8</v>
      </c>
      <c r="E3" t="n">
        <v>11.3</v>
      </c>
      <c r="F3" t="n">
        <v>11.8</v>
      </c>
      <c r="G3" t="n">
        <v>12.3</v>
      </c>
    </row>
    <row r="4">
      <c r="B4" t="n">
        <v>12</v>
      </c>
      <c r="C4">
        <f>((($B4*(1+Company!$M$5))-C$3)*Company!$E$5*10000*Company!$G$5/100000000+Company!$H$5*10000*Paths!$C$16/100000000)*Company!$N$5</f>
        <v/>
      </c>
      <c r="D4">
        <f>((($B4*(1+Company!$M$5))-D$3)*Company!$E$5*10000*Company!$G$5/100000000+Company!$H$5*10000*Paths!$C$16/100000000)*Company!$N$5</f>
        <v/>
      </c>
      <c r="E4">
        <f>((($B4*(1+Company!$M$5))-E$3)*Company!$E$5*10000*Company!$G$5/100000000+Company!$H$5*10000*Paths!$C$16/100000000)*Company!$N$5</f>
        <v/>
      </c>
      <c r="F4">
        <f>((($B4*(1+Company!$M$5))-F$3)*Company!$E$5*10000*Company!$G$5/100000000+Company!$H$5*10000*Paths!$C$16/100000000)*Company!$N$5</f>
        <v/>
      </c>
      <c r="G4">
        <f>((($B4*(1+Company!$M$5))-G$3)*Company!$E$5*10000*Company!$G$5/100000000+Company!$H$5*10000*Paths!$C$16/100000000)*Company!$N$5</f>
        <v/>
      </c>
    </row>
    <row r="5">
      <c r="B5" t="n">
        <v>14</v>
      </c>
      <c r="C5">
        <f>((($B5*(1+Company!$M$5))-C$3)*Company!$E$5*10000*Company!$G$5/100000000+Company!$H$5*10000*Paths!$C$16/100000000)*Company!$N$5</f>
        <v/>
      </c>
      <c r="D5">
        <f>((($B5*(1+Company!$M$5))-D$3)*Company!$E$5*10000*Company!$G$5/100000000+Company!$H$5*10000*Paths!$C$16/100000000)*Company!$N$5</f>
        <v/>
      </c>
      <c r="E5">
        <f>((($B5*(1+Company!$M$5))-E$3)*Company!$E$5*10000*Company!$G$5/100000000+Company!$H$5*10000*Paths!$C$16/100000000)*Company!$N$5</f>
        <v/>
      </c>
      <c r="F5">
        <f>((($B5*(1+Company!$M$5))-F$3)*Company!$E$5*10000*Company!$G$5/100000000+Company!$H$5*10000*Paths!$C$16/100000000)*Company!$N$5</f>
        <v/>
      </c>
      <c r="G5">
        <f>((($B5*(1+Company!$M$5))-G$3)*Company!$E$5*10000*Company!$G$5/100000000+Company!$H$5*10000*Paths!$C$16/100000000)*Company!$N$5</f>
        <v/>
      </c>
    </row>
    <row r="6">
      <c r="B6" t="n">
        <v>16</v>
      </c>
      <c r="C6">
        <f>((($B6*(1+Company!$M$5))-C$3)*Company!$E$5*10000*Company!$G$5/100000000+Company!$H$5*10000*Paths!$C$16/100000000)*Company!$N$5</f>
        <v/>
      </c>
      <c r="D6">
        <f>((($B6*(1+Company!$M$5))-D$3)*Company!$E$5*10000*Company!$G$5/100000000+Company!$H$5*10000*Paths!$C$16/100000000)*Company!$N$5</f>
        <v/>
      </c>
      <c r="E6">
        <f>((($B6*(1+Company!$M$5))-E$3)*Company!$E$5*10000*Company!$G$5/100000000+Company!$H$5*10000*Paths!$C$16/100000000)*Company!$N$5</f>
        <v/>
      </c>
      <c r="F6">
        <f>((($B6*(1+Company!$M$5))-F$3)*Company!$E$5*10000*Company!$G$5/100000000+Company!$H$5*10000*Paths!$C$16/100000000)*Company!$N$5</f>
        <v/>
      </c>
      <c r="G6">
        <f>((($B6*(1+Company!$M$5))-G$3)*Company!$E$5*10000*Company!$G$5/100000000+Company!$H$5*10000*Paths!$C$16/100000000)*Company!$N$5</f>
        <v/>
      </c>
    </row>
    <row r="7">
      <c r="B7" t="n">
        <v>18</v>
      </c>
      <c r="C7">
        <f>((($B7*(1+Company!$M$5))-C$3)*Company!$E$5*10000*Company!$G$5/100000000+Company!$H$5*10000*Paths!$C$16/100000000)*Company!$N$5</f>
        <v/>
      </c>
      <c r="D7">
        <f>((($B7*(1+Company!$M$5))-D$3)*Company!$E$5*10000*Company!$G$5/100000000+Company!$H$5*10000*Paths!$C$16/100000000)*Company!$N$5</f>
        <v/>
      </c>
      <c r="E7">
        <f>((($B7*(1+Company!$M$5))-E$3)*Company!$E$5*10000*Company!$G$5/100000000+Company!$H$5*10000*Paths!$C$16/100000000)*Company!$N$5</f>
        <v/>
      </c>
      <c r="F7">
        <f>((($B7*(1+Company!$M$5))-F$3)*Company!$E$5*10000*Company!$G$5/100000000+Company!$H$5*10000*Paths!$C$16/100000000)*Company!$N$5</f>
        <v/>
      </c>
      <c r="G7">
        <f>((($B7*(1+Company!$M$5))-G$3)*Company!$E$5*10000*Company!$G$5/100000000+Company!$H$5*10000*Paths!$C$16/100000000)*Company!$N$5</f>
        <v/>
      </c>
    </row>
    <row r="8">
      <c r="B8" t="n">
        <v>20</v>
      </c>
      <c r="C8">
        <f>((($B8*(1+Company!$M$5))-C$3)*Company!$E$5*10000*Company!$G$5/100000000+Company!$H$5*10000*Paths!$C$16/100000000)*Company!$N$5</f>
        <v/>
      </c>
      <c r="D8">
        <f>((($B8*(1+Company!$M$5))-D$3)*Company!$E$5*10000*Company!$G$5/100000000+Company!$H$5*10000*Paths!$C$16/100000000)*Company!$N$5</f>
        <v/>
      </c>
      <c r="E8">
        <f>((($B8*(1+Company!$M$5))-E$3)*Company!$E$5*10000*Company!$G$5/100000000+Company!$H$5*10000*Paths!$C$16/100000000)*Company!$N$5</f>
        <v/>
      </c>
      <c r="F8">
        <f>((($B8*(1+Company!$M$5))-F$3)*Company!$E$5*10000*Company!$G$5/100000000+Company!$H$5*10000*Paths!$C$16/100000000)*Company!$N$5</f>
        <v/>
      </c>
      <c r="G8">
        <f>((($B8*(1+Company!$M$5))-G$3)*Company!$E$5*10000*Company!$G$5/100000000+Company!$H$5*10000*Paths!$C$16/100000000)*Company!$N$5</f>
        <v/>
      </c>
    </row>
    <row r="9">
      <c r="B9" t="n">
        <v>22</v>
      </c>
      <c r="C9">
        <f>((($B9*(1+Company!$M$5))-C$3)*Company!$E$5*10000*Company!$G$5/100000000+Company!$H$5*10000*Paths!$C$16/100000000)*Company!$N$5</f>
        <v/>
      </c>
      <c r="D9">
        <f>((($B9*(1+Company!$M$5))-D$3)*Company!$E$5*10000*Company!$G$5/100000000+Company!$H$5*10000*Paths!$C$16/100000000)*Company!$N$5</f>
        <v/>
      </c>
      <c r="E9">
        <f>((($B9*(1+Company!$M$5))-E$3)*Company!$E$5*10000*Company!$G$5/100000000+Company!$H$5*10000*Paths!$C$16/100000000)*Company!$N$5</f>
        <v/>
      </c>
      <c r="F9">
        <f>((($B9*(1+Company!$M$5))-F$3)*Company!$E$5*10000*Company!$G$5/100000000+Company!$H$5*10000*Paths!$C$16/100000000)*Company!$N$5</f>
        <v/>
      </c>
      <c r="G9">
        <f>((($B9*(1+Company!$M$5))-G$3)*Company!$E$5*10000*Company!$G$5/100000000+Company!$H$5*10000*Paths!$C$16/100000000)*Company!$N$5</f>
        <v/>
      </c>
    </row>
    <row r="10">
      <c r="B10" t="inlineStr">
        <is>
          <t>当前市值</t>
        </is>
      </c>
      <c r="C10">
        <f>Company!C5</f>
        <v/>
      </c>
    </row>
    <row r="13">
      <c r="A13" s="1">
        <f>Company!B6</f>
        <v/>
      </c>
      <c r="B13" t="inlineStr">
        <is>
          <t>成本→</t>
        </is>
      </c>
      <c r="C13" t="n">
        <v>10.7</v>
      </c>
      <c r="D13" t="n">
        <v>11.2</v>
      </c>
      <c r="E13" t="n">
        <v>11.7</v>
      </c>
      <c r="F13" t="n">
        <v>12.2</v>
      </c>
      <c r="G13" t="n">
        <v>12.7</v>
      </c>
    </row>
    <row r="14">
      <c r="B14" t="n">
        <v>12</v>
      </c>
      <c r="C14">
        <f>((($B14*(1+Company!$M$6))-C$13)*Company!$E$6*10000*Company!$G$6/100000000+Company!$H$6*10000*Paths!$C$16/100000000)*Company!$N$6</f>
        <v/>
      </c>
      <c r="D14">
        <f>((($B14*(1+Company!$M$6))-D$13)*Company!$E$6*10000*Company!$G$6/100000000+Company!$H$6*10000*Paths!$C$16/100000000)*Company!$N$6</f>
        <v/>
      </c>
      <c r="E14">
        <f>((($B14*(1+Company!$M$6))-E$13)*Company!$E$6*10000*Company!$G$6/100000000+Company!$H$6*10000*Paths!$C$16/100000000)*Company!$N$6</f>
        <v/>
      </c>
      <c r="F14">
        <f>((($B14*(1+Company!$M$6))-F$13)*Company!$E$6*10000*Company!$G$6/100000000+Company!$H$6*10000*Paths!$C$16/100000000)*Company!$N$6</f>
        <v/>
      </c>
      <c r="G14">
        <f>((($B14*(1+Company!$M$6))-G$13)*Company!$E$6*10000*Company!$G$6/100000000+Company!$H$6*10000*Paths!$C$16/100000000)*Company!$N$6</f>
        <v/>
      </c>
    </row>
    <row r="15">
      <c r="B15" t="n">
        <v>14</v>
      </c>
      <c r="C15">
        <f>((($B15*(1+Company!$M$6))-C$13)*Company!$E$6*10000*Company!$G$6/100000000+Company!$H$6*10000*Paths!$C$16/100000000)*Company!$N$6</f>
        <v/>
      </c>
      <c r="D15">
        <f>((($B15*(1+Company!$M$6))-D$13)*Company!$E$6*10000*Company!$G$6/100000000+Company!$H$6*10000*Paths!$C$16/100000000)*Company!$N$6</f>
        <v/>
      </c>
      <c r="E15">
        <f>((($B15*(1+Company!$M$6))-E$13)*Company!$E$6*10000*Company!$G$6/100000000+Company!$H$6*10000*Paths!$C$16/100000000)*Company!$N$6</f>
        <v/>
      </c>
      <c r="F15">
        <f>((($B15*(1+Company!$M$6))-F$13)*Company!$E$6*10000*Company!$G$6/100000000+Company!$H$6*10000*Paths!$C$16/100000000)*Company!$N$6</f>
        <v/>
      </c>
      <c r="G15">
        <f>((($B15*(1+Company!$M$6))-G$13)*Company!$E$6*10000*Company!$G$6/100000000+Company!$H$6*10000*Paths!$C$16/100000000)*Company!$N$6</f>
        <v/>
      </c>
    </row>
    <row r="16">
      <c r="B16" t="n">
        <v>16</v>
      </c>
      <c r="C16">
        <f>((($B16*(1+Company!$M$6))-C$13)*Company!$E$6*10000*Company!$G$6/100000000+Company!$H$6*10000*Paths!$C$16/100000000)*Company!$N$6</f>
        <v/>
      </c>
      <c r="D16">
        <f>((($B16*(1+Company!$M$6))-D$13)*Company!$E$6*10000*Company!$G$6/100000000+Company!$H$6*10000*Paths!$C$16/100000000)*Company!$N$6</f>
        <v/>
      </c>
      <c r="E16">
        <f>((($B16*(1+Company!$M$6))-E$13)*Company!$E$6*10000*Company!$G$6/100000000+Company!$H$6*10000*Paths!$C$16/100000000)*Company!$N$6</f>
        <v/>
      </c>
      <c r="F16">
        <f>((($B16*(1+Company!$M$6))-F$13)*Company!$E$6*10000*Company!$G$6/100000000+Company!$H$6*10000*Paths!$C$16/100000000)*Company!$N$6</f>
        <v/>
      </c>
      <c r="G16">
        <f>((($B16*(1+Company!$M$6))-G$13)*Company!$E$6*10000*Company!$G$6/100000000+Company!$H$6*10000*Paths!$C$16/100000000)*Company!$N$6</f>
        <v/>
      </c>
    </row>
    <row r="17">
      <c r="B17" t="n">
        <v>18</v>
      </c>
      <c r="C17">
        <f>((($B17*(1+Company!$M$6))-C$13)*Company!$E$6*10000*Company!$G$6/100000000+Company!$H$6*10000*Paths!$C$16/100000000)*Company!$N$6</f>
        <v/>
      </c>
      <c r="D17">
        <f>((($B17*(1+Company!$M$6))-D$13)*Company!$E$6*10000*Company!$G$6/100000000+Company!$H$6*10000*Paths!$C$16/100000000)*Company!$N$6</f>
        <v/>
      </c>
      <c r="E17">
        <f>((($B17*(1+Company!$M$6))-E$13)*Company!$E$6*10000*Company!$G$6/100000000+Company!$H$6*10000*Paths!$C$16/100000000)*Company!$N$6</f>
        <v/>
      </c>
      <c r="F17">
        <f>((($B17*(1+Company!$M$6))-F$13)*Company!$E$6*10000*Company!$G$6/100000000+Company!$H$6*10000*Paths!$C$16/100000000)*Company!$N$6</f>
        <v/>
      </c>
      <c r="G17">
        <f>((($B17*(1+Company!$M$6))-G$13)*Company!$E$6*10000*Company!$G$6/100000000+Company!$H$6*10000*Paths!$C$16/100000000)*Company!$N$6</f>
        <v/>
      </c>
    </row>
    <row r="18">
      <c r="B18" t="n">
        <v>20</v>
      </c>
      <c r="C18">
        <f>((($B18*(1+Company!$M$6))-C$13)*Company!$E$6*10000*Company!$G$6/100000000+Company!$H$6*10000*Paths!$C$16/100000000)*Company!$N$6</f>
        <v/>
      </c>
      <c r="D18">
        <f>((($B18*(1+Company!$M$6))-D$13)*Company!$E$6*10000*Company!$G$6/100000000+Company!$H$6*10000*Paths!$C$16/100000000)*Company!$N$6</f>
        <v/>
      </c>
      <c r="E18">
        <f>((($B18*(1+Company!$M$6))-E$13)*Company!$E$6*10000*Company!$G$6/100000000+Company!$H$6*10000*Paths!$C$16/100000000)*Company!$N$6</f>
        <v/>
      </c>
      <c r="F18">
        <f>((($B18*(1+Company!$M$6))-F$13)*Company!$E$6*10000*Company!$G$6/100000000+Company!$H$6*10000*Paths!$C$16/100000000)*Company!$N$6</f>
        <v/>
      </c>
      <c r="G18">
        <f>((($B18*(1+Company!$M$6))-G$13)*Company!$E$6*10000*Company!$G$6/100000000+Company!$H$6*10000*Paths!$C$16/100000000)*Company!$N$6</f>
        <v/>
      </c>
    </row>
    <row r="19">
      <c r="B19" t="n">
        <v>22</v>
      </c>
      <c r="C19">
        <f>((($B19*(1+Company!$M$6))-C$13)*Company!$E$6*10000*Company!$G$6/100000000+Company!$H$6*10000*Paths!$C$16/100000000)*Company!$N$6</f>
        <v/>
      </c>
      <c r="D19">
        <f>((($B19*(1+Company!$M$6))-D$13)*Company!$E$6*10000*Company!$G$6/100000000+Company!$H$6*10000*Paths!$C$16/100000000)*Company!$N$6</f>
        <v/>
      </c>
      <c r="E19">
        <f>((($B19*(1+Company!$M$6))-E$13)*Company!$E$6*10000*Company!$G$6/100000000+Company!$H$6*10000*Paths!$C$16/100000000)*Company!$N$6</f>
        <v/>
      </c>
      <c r="F19">
        <f>((($B19*(1+Company!$M$6))-F$13)*Company!$E$6*10000*Company!$G$6/100000000+Company!$H$6*10000*Paths!$C$16/100000000)*Company!$N$6</f>
        <v/>
      </c>
      <c r="G19">
        <f>((($B19*(1+Company!$M$6))-G$13)*Company!$E$6*10000*Company!$G$6/100000000+Company!$H$6*10000*Paths!$C$16/100000000)*Company!$N$6</f>
        <v/>
      </c>
    </row>
    <row r="20">
      <c r="B20" t="inlineStr">
        <is>
          <t>当前市值</t>
        </is>
      </c>
      <c r="C20">
        <f>Company!C6</f>
        <v/>
      </c>
    </row>
    <row r="23">
      <c r="A23" s="1">
        <f>Company!B9</f>
        <v/>
      </c>
      <c r="B23" t="inlineStr">
        <is>
          <t>成本→</t>
        </is>
      </c>
      <c r="C23" t="n">
        <v>11.9</v>
      </c>
      <c r="D23" t="n">
        <v>12.4</v>
      </c>
      <c r="E23" t="n">
        <v>12.9</v>
      </c>
      <c r="F23" t="n">
        <v>13.4</v>
      </c>
      <c r="G23" t="n">
        <v>13.9</v>
      </c>
    </row>
    <row r="24">
      <c r="B24" t="n">
        <v>12</v>
      </c>
      <c r="C24">
        <f>((($B24*(1+Paths!$C$19)+Paths!$C$20*Paths!$C$21)-C$23)*Company!$E$9*10000*Company!$G$9/100000000+Company!$H$9*10000*Paths!$C$16/100000000)*Company!$N$9</f>
        <v/>
      </c>
      <c r="D24">
        <f>((($B24*(1+Paths!$C$19)+Paths!$C$20*Paths!$C$21)-D$23)*Company!$E$9*10000*Company!$G$9/100000000+Company!$H$9*10000*Paths!$C$16/100000000)*Company!$N$9</f>
        <v/>
      </c>
      <c r="E24">
        <f>((($B24*(1+Paths!$C$19)+Paths!$C$20*Paths!$C$21)-E$23)*Company!$E$9*10000*Company!$G$9/100000000+Company!$H$9*10000*Paths!$C$16/100000000)*Company!$N$9</f>
        <v/>
      </c>
      <c r="F24">
        <f>((($B24*(1+Paths!$C$19)+Paths!$C$20*Paths!$C$21)-F$23)*Company!$E$9*10000*Company!$G$9/100000000+Company!$H$9*10000*Paths!$C$16/100000000)*Company!$N$9</f>
        <v/>
      </c>
      <c r="G24">
        <f>((($B24*(1+Paths!$C$19)+Paths!$C$20*Paths!$C$21)-G$23)*Company!$E$9*10000*Company!$G$9/100000000+Company!$H$9*10000*Paths!$C$16/100000000)*Company!$N$9</f>
        <v/>
      </c>
    </row>
    <row r="25">
      <c r="B25" t="n">
        <v>14</v>
      </c>
      <c r="C25">
        <f>((($B25*(1+Paths!$C$19)+Paths!$C$20*Paths!$C$21)-C$23)*Company!$E$9*10000*Company!$G$9/100000000+Company!$H$9*10000*Paths!$C$16/100000000)*Company!$N$9</f>
        <v/>
      </c>
      <c r="D25">
        <f>((($B25*(1+Paths!$C$19)+Paths!$C$20*Paths!$C$21)-D$23)*Company!$E$9*10000*Company!$G$9/100000000+Company!$H$9*10000*Paths!$C$16/100000000)*Company!$N$9</f>
        <v/>
      </c>
      <c r="E25">
        <f>((($B25*(1+Paths!$C$19)+Paths!$C$20*Paths!$C$21)-E$23)*Company!$E$9*10000*Company!$G$9/100000000+Company!$H$9*10000*Paths!$C$16/100000000)*Company!$N$9</f>
        <v/>
      </c>
      <c r="F25">
        <f>((($B25*(1+Paths!$C$19)+Paths!$C$20*Paths!$C$21)-F$23)*Company!$E$9*10000*Company!$G$9/100000000+Company!$H$9*10000*Paths!$C$16/100000000)*Company!$N$9</f>
        <v/>
      </c>
      <c r="G25">
        <f>((($B25*(1+Paths!$C$19)+Paths!$C$20*Paths!$C$21)-G$23)*Company!$E$9*10000*Company!$G$9/100000000+Company!$H$9*10000*Paths!$C$16/100000000)*Company!$N$9</f>
        <v/>
      </c>
    </row>
    <row r="26">
      <c r="B26" t="n">
        <v>16</v>
      </c>
      <c r="C26">
        <f>((($B26*(1+Paths!$C$19)+Paths!$C$20*Paths!$C$21)-C$23)*Company!$E$9*10000*Company!$G$9/100000000+Company!$H$9*10000*Paths!$C$16/100000000)*Company!$N$9</f>
        <v/>
      </c>
      <c r="D26">
        <f>((($B26*(1+Paths!$C$19)+Paths!$C$20*Paths!$C$21)-D$23)*Company!$E$9*10000*Company!$G$9/100000000+Company!$H$9*10000*Paths!$C$16/100000000)*Company!$N$9</f>
        <v/>
      </c>
      <c r="E26">
        <f>((($B26*(1+Paths!$C$19)+Paths!$C$20*Paths!$C$21)-E$23)*Company!$E$9*10000*Company!$G$9/100000000+Company!$H$9*10000*Paths!$C$16/100000000)*Company!$N$9</f>
        <v/>
      </c>
      <c r="F26">
        <f>((($B26*(1+Paths!$C$19)+Paths!$C$20*Paths!$C$21)-F$23)*Company!$E$9*10000*Company!$G$9/100000000+Company!$H$9*10000*Paths!$C$16/100000000)*Company!$N$9</f>
        <v/>
      </c>
      <c r="G26">
        <f>((($B26*(1+Paths!$C$19)+Paths!$C$20*Paths!$C$21)-G$23)*Company!$E$9*10000*Company!$G$9/100000000+Company!$H$9*10000*Paths!$C$16/100000000)*Company!$N$9</f>
        <v/>
      </c>
    </row>
    <row r="27">
      <c r="B27" t="n">
        <v>18</v>
      </c>
      <c r="C27">
        <f>((($B27*(1+Paths!$C$19)+Paths!$C$20*Paths!$C$21)-C$23)*Company!$E$9*10000*Company!$G$9/100000000+Company!$H$9*10000*Paths!$C$16/100000000)*Company!$N$9</f>
        <v/>
      </c>
      <c r="D27">
        <f>((($B27*(1+Paths!$C$19)+Paths!$C$20*Paths!$C$21)-D$23)*Company!$E$9*10000*Company!$G$9/100000000+Company!$H$9*10000*Paths!$C$16/100000000)*Company!$N$9</f>
        <v/>
      </c>
      <c r="E27">
        <f>((($B27*(1+Paths!$C$19)+Paths!$C$20*Paths!$C$21)-E$23)*Company!$E$9*10000*Company!$G$9/100000000+Company!$H$9*10000*Paths!$C$16/100000000)*Company!$N$9</f>
        <v/>
      </c>
      <c r="F27">
        <f>((($B27*(1+Paths!$C$19)+Paths!$C$20*Paths!$C$21)-F$23)*Company!$E$9*10000*Company!$G$9/100000000+Company!$H$9*10000*Paths!$C$16/100000000)*Company!$N$9</f>
        <v/>
      </c>
      <c r="G27">
        <f>((($B27*(1+Paths!$C$19)+Paths!$C$20*Paths!$C$21)-G$23)*Company!$E$9*10000*Company!$G$9/100000000+Company!$H$9*10000*Paths!$C$16/100000000)*Company!$N$9</f>
        <v/>
      </c>
    </row>
    <row r="28">
      <c r="B28" t="n">
        <v>20</v>
      </c>
      <c r="C28">
        <f>((($B28*(1+Paths!$C$19)+Paths!$C$20*Paths!$C$21)-C$23)*Company!$E$9*10000*Company!$G$9/100000000+Company!$H$9*10000*Paths!$C$16/100000000)*Company!$N$9</f>
        <v/>
      </c>
      <c r="D28">
        <f>((($B28*(1+Paths!$C$19)+Paths!$C$20*Paths!$C$21)-D$23)*Company!$E$9*10000*Company!$G$9/100000000+Company!$H$9*10000*Paths!$C$16/100000000)*Company!$N$9</f>
        <v/>
      </c>
      <c r="E28">
        <f>((($B28*(1+Paths!$C$19)+Paths!$C$20*Paths!$C$21)-E$23)*Company!$E$9*10000*Company!$G$9/100000000+Company!$H$9*10000*Paths!$C$16/100000000)*Company!$N$9</f>
        <v/>
      </c>
      <c r="F28">
        <f>((($B28*(1+Paths!$C$19)+Paths!$C$20*Paths!$C$21)-F$23)*Company!$E$9*10000*Company!$G$9/100000000+Company!$H$9*10000*Paths!$C$16/100000000)*Company!$N$9</f>
        <v/>
      </c>
      <c r="G28">
        <f>((($B28*(1+Paths!$C$19)+Paths!$C$20*Paths!$C$21)-G$23)*Company!$E$9*10000*Company!$G$9/100000000+Company!$H$9*10000*Paths!$C$16/100000000)*Company!$N$9</f>
        <v/>
      </c>
    </row>
    <row r="29">
      <c r="B29" t="n">
        <v>22</v>
      </c>
      <c r="C29">
        <f>((($B29*(1+Paths!$C$19)+Paths!$C$20*Paths!$C$21)-C$23)*Company!$E$9*10000*Company!$G$9/100000000+Company!$H$9*10000*Paths!$C$16/100000000)*Company!$N$9</f>
        <v/>
      </c>
      <c r="D29">
        <f>((($B29*(1+Paths!$C$19)+Paths!$C$20*Paths!$C$21)-D$23)*Company!$E$9*10000*Company!$G$9/100000000+Company!$H$9*10000*Paths!$C$16/100000000)*Company!$N$9</f>
        <v/>
      </c>
      <c r="E29">
        <f>((($B29*(1+Paths!$C$19)+Paths!$C$20*Paths!$C$21)-E$23)*Company!$E$9*10000*Company!$G$9/100000000+Company!$H$9*10000*Paths!$C$16/100000000)*Company!$N$9</f>
        <v/>
      </c>
      <c r="F29">
        <f>((($B29*(1+Paths!$C$19)+Paths!$C$20*Paths!$C$21)-F$23)*Company!$E$9*10000*Company!$G$9/100000000+Company!$H$9*10000*Paths!$C$16/100000000)*Company!$N$9</f>
        <v/>
      </c>
      <c r="G29">
        <f>((($B29*(1+Paths!$C$19)+Paths!$C$20*Paths!$C$21)-G$23)*Company!$E$9*10000*Company!$G$9/100000000+Company!$H$9*10000*Paths!$C$16/100000000)*Company!$N$9</f>
        <v/>
      </c>
    </row>
    <row r="30">
      <c r="B30" t="inlineStr">
        <is>
          <t>当前市值</t>
        </is>
      </c>
      <c r="C30">
        <f>Company!C9</f>
        <v/>
      </c>
    </row>
    <row r="33">
      <c r="A33" s="1">
        <f>Company!B12</f>
        <v/>
      </c>
      <c r="B33" t="inlineStr">
        <is>
          <t>成本→</t>
        </is>
      </c>
      <c r="C33" t="n">
        <v>11</v>
      </c>
      <c r="D33" t="n">
        <v>11.5</v>
      </c>
      <c r="E33" t="n">
        <v>12</v>
      </c>
      <c r="F33" t="n">
        <v>12.5</v>
      </c>
      <c r="G33" t="n">
        <v>13</v>
      </c>
    </row>
    <row r="34">
      <c r="B34" t="n">
        <v>12</v>
      </c>
      <c r="C34">
        <f>((($B34*(1+Company!$M$12))-C$33)*Company!$E$12*10000*Company!$G$12/100000000+Company!$H$12*10000*Paths!$C$16/100000000)*Company!$N$12</f>
        <v/>
      </c>
      <c r="D34">
        <f>((($B34*(1+Company!$M$12))-D$33)*Company!$E$12*10000*Company!$G$12/100000000+Company!$H$12*10000*Paths!$C$16/100000000)*Company!$N$12</f>
        <v/>
      </c>
      <c r="E34">
        <f>((($B34*(1+Company!$M$12))-E$33)*Company!$E$12*10000*Company!$G$12/100000000+Company!$H$12*10000*Paths!$C$16/100000000)*Company!$N$12</f>
        <v/>
      </c>
      <c r="F34">
        <f>((($B34*(1+Company!$M$12))-F$33)*Company!$E$12*10000*Company!$G$12/100000000+Company!$H$12*10000*Paths!$C$16/100000000)*Company!$N$12</f>
        <v/>
      </c>
      <c r="G34">
        <f>((($B34*(1+Company!$M$12))-G$33)*Company!$E$12*10000*Company!$G$12/100000000+Company!$H$12*10000*Paths!$C$16/100000000)*Company!$N$12</f>
        <v/>
      </c>
    </row>
    <row r="35">
      <c r="B35" t="n">
        <v>14</v>
      </c>
      <c r="C35">
        <f>((($B35*(1+Company!$M$12))-C$33)*Company!$E$12*10000*Company!$G$12/100000000+Company!$H$12*10000*Paths!$C$16/100000000)*Company!$N$12</f>
        <v/>
      </c>
      <c r="D35">
        <f>((($B35*(1+Company!$M$12))-D$33)*Company!$E$12*10000*Company!$G$12/100000000+Company!$H$12*10000*Paths!$C$16/100000000)*Company!$N$12</f>
        <v/>
      </c>
      <c r="E35">
        <f>((($B35*(1+Company!$M$12))-E$33)*Company!$E$12*10000*Company!$G$12/100000000+Company!$H$12*10000*Paths!$C$16/100000000)*Company!$N$12</f>
        <v/>
      </c>
      <c r="F35">
        <f>((($B35*(1+Company!$M$12))-F$33)*Company!$E$12*10000*Company!$G$12/100000000+Company!$H$12*10000*Paths!$C$16/100000000)*Company!$N$12</f>
        <v/>
      </c>
      <c r="G35">
        <f>((($B35*(1+Company!$M$12))-G$33)*Company!$E$12*10000*Company!$G$12/100000000+Company!$H$12*10000*Paths!$C$16/100000000)*Company!$N$12</f>
        <v/>
      </c>
    </row>
    <row r="36">
      <c r="B36" t="n">
        <v>16</v>
      </c>
      <c r="C36">
        <f>((($B36*(1+Company!$M$12))-C$33)*Company!$E$12*10000*Company!$G$12/100000000+Company!$H$12*10000*Paths!$C$16/100000000)*Company!$N$12</f>
        <v/>
      </c>
      <c r="D36">
        <f>((($B36*(1+Company!$M$12))-D$33)*Company!$E$12*10000*Company!$G$12/100000000+Company!$H$12*10000*Paths!$C$16/100000000)*Company!$N$12</f>
        <v/>
      </c>
      <c r="E36">
        <f>((($B36*(1+Company!$M$12))-E$33)*Company!$E$12*10000*Company!$G$12/100000000+Company!$H$12*10000*Paths!$C$16/100000000)*Company!$N$12</f>
        <v/>
      </c>
      <c r="F36">
        <f>((($B36*(1+Company!$M$12))-F$33)*Company!$E$12*10000*Company!$G$12/100000000+Company!$H$12*10000*Paths!$C$16/100000000)*Company!$N$12</f>
        <v/>
      </c>
      <c r="G36">
        <f>((($B36*(1+Company!$M$12))-G$33)*Company!$E$12*10000*Company!$G$12/100000000+Company!$H$12*10000*Paths!$C$16/100000000)*Company!$N$12</f>
        <v/>
      </c>
    </row>
    <row r="37">
      <c r="B37" t="n">
        <v>18</v>
      </c>
      <c r="C37">
        <f>((($B37*(1+Company!$M$12))-C$33)*Company!$E$12*10000*Company!$G$12/100000000+Company!$H$12*10000*Paths!$C$16/100000000)*Company!$N$12</f>
        <v/>
      </c>
      <c r="D37">
        <f>((($B37*(1+Company!$M$12))-D$33)*Company!$E$12*10000*Company!$G$12/100000000+Company!$H$12*10000*Paths!$C$16/100000000)*Company!$N$12</f>
        <v/>
      </c>
      <c r="E37">
        <f>((($B37*(1+Company!$M$12))-E$33)*Company!$E$12*10000*Company!$G$12/100000000+Company!$H$12*10000*Paths!$C$16/100000000)*Company!$N$12</f>
        <v/>
      </c>
      <c r="F37">
        <f>((($B37*(1+Company!$M$12))-F$33)*Company!$E$12*10000*Company!$G$12/100000000+Company!$H$12*10000*Paths!$C$16/100000000)*Company!$N$12</f>
        <v/>
      </c>
      <c r="G37">
        <f>((($B37*(1+Company!$M$12))-G$33)*Company!$E$12*10000*Company!$G$12/100000000+Company!$H$12*10000*Paths!$C$16/100000000)*Company!$N$12</f>
        <v/>
      </c>
    </row>
    <row r="38">
      <c r="B38" t="n">
        <v>20</v>
      </c>
      <c r="C38">
        <f>((($B38*(1+Company!$M$12))-C$33)*Company!$E$12*10000*Company!$G$12/100000000+Company!$H$12*10000*Paths!$C$16/100000000)*Company!$N$12</f>
        <v/>
      </c>
      <c r="D38">
        <f>((($B38*(1+Company!$M$12))-D$33)*Company!$E$12*10000*Company!$G$12/100000000+Company!$H$12*10000*Paths!$C$16/100000000)*Company!$N$12</f>
        <v/>
      </c>
      <c r="E38">
        <f>((($B38*(1+Company!$M$12))-E$33)*Company!$E$12*10000*Company!$G$12/100000000+Company!$H$12*10000*Paths!$C$16/100000000)*Company!$N$12</f>
        <v/>
      </c>
      <c r="F38">
        <f>((($B38*(1+Company!$M$12))-F$33)*Company!$E$12*10000*Company!$G$12/100000000+Company!$H$12*10000*Paths!$C$16/100000000)*Company!$N$12</f>
        <v/>
      </c>
      <c r="G38">
        <f>((($B38*(1+Company!$M$12))-G$33)*Company!$E$12*10000*Company!$G$12/100000000+Company!$H$12*10000*Paths!$C$16/100000000)*Company!$N$12</f>
        <v/>
      </c>
    </row>
    <row r="39">
      <c r="B39" t="n">
        <v>22</v>
      </c>
      <c r="C39">
        <f>((($B39*(1+Company!$M$12))-C$33)*Company!$E$12*10000*Company!$G$12/100000000+Company!$H$12*10000*Paths!$C$16/100000000)*Company!$N$12</f>
        <v/>
      </c>
      <c r="D39">
        <f>((($B39*(1+Company!$M$12))-D$33)*Company!$E$12*10000*Company!$G$12/100000000+Company!$H$12*10000*Paths!$C$16/100000000)*Company!$N$12</f>
        <v/>
      </c>
      <c r="E39">
        <f>((($B39*(1+Company!$M$12))-E$33)*Company!$E$12*10000*Company!$G$12/100000000+Company!$H$12*10000*Paths!$C$16/100000000)*Company!$N$12</f>
        <v/>
      </c>
      <c r="F39">
        <f>((($B39*(1+Company!$M$12))-F$33)*Company!$E$12*10000*Company!$G$12/100000000+Company!$H$12*10000*Paths!$C$16/100000000)*Company!$N$12</f>
        <v/>
      </c>
      <c r="G39">
        <f>((($B39*(1+Company!$M$12))-G$33)*Company!$E$12*10000*Company!$G$12/100000000+Company!$H$12*10000*Paths!$C$16/100000000)*Company!$N$12</f>
        <v/>
      </c>
    </row>
    <row r="40">
      <c r="B40" t="inlineStr">
        <is>
          <t>当前市值</t>
        </is>
      </c>
      <c r="C40">
        <f>Company!C12</f>
        <v/>
      </c>
    </row>
    <row r="43">
      <c r="A43" s="1">
        <f>Company!B13</f>
        <v/>
      </c>
      <c r="B43" t="inlineStr">
        <is>
          <t>成本→</t>
        </is>
      </c>
      <c r="C43" t="n">
        <v>11.2</v>
      </c>
      <c r="D43" t="n">
        <v>11.7</v>
      </c>
      <c r="E43" t="n">
        <v>12.2</v>
      </c>
      <c r="F43" t="n">
        <v>12.7</v>
      </c>
      <c r="G43" t="n">
        <v>13.2</v>
      </c>
    </row>
    <row r="44">
      <c r="B44" t="n">
        <v>12</v>
      </c>
      <c r="C44">
        <f>((($B44*(1+Company!$M$13))-C$43)*Company!$E$13*10000*Company!$G$13/100000000+Company!$H$13*10000*Paths!$C$16/100000000)*Company!$N$13</f>
        <v/>
      </c>
      <c r="D44">
        <f>((($B44*(1+Company!$M$13))-D$43)*Company!$E$13*10000*Company!$G$13/100000000+Company!$H$13*10000*Paths!$C$16/100000000)*Company!$N$13</f>
        <v/>
      </c>
      <c r="E44">
        <f>((($B44*(1+Company!$M$13))-E$43)*Company!$E$13*10000*Company!$G$13/100000000+Company!$H$13*10000*Paths!$C$16/100000000)*Company!$N$13</f>
        <v/>
      </c>
      <c r="F44">
        <f>((($B44*(1+Company!$M$13))-F$43)*Company!$E$13*10000*Company!$G$13/100000000+Company!$H$13*10000*Paths!$C$16/100000000)*Company!$N$13</f>
        <v/>
      </c>
      <c r="G44">
        <f>((($B44*(1+Company!$M$13))-G$43)*Company!$E$13*10000*Company!$G$13/100000000+Company!$H$13*10000*Paths!$C$16/100000000)*Company!$N$13</f>
        <v/>
      </c>
    </row>
    <row r="45">
      <c r="B45" t="n">
        <v>14</v>
      </c>
      <c r="C45">
        <f>((($B45*(1+Company!$M$13))-C$43)*Company!$E$13*10000*Company!$G$13/100000000+Company!$H$13*10000*Paths!$C$16/100000000)*Company!$N$13</f>
        <v/>
      </c>
      <c r="D45">
        <f>((($B45*(1+Company!$M$13))-D$43)*Company!$E$13*10000*Company!$G$13/100000000+Company!$H$13*10000*Paths!$C$16/100000000)*Company!$N$13</f>
        <v/>
      </c>
      <c r="E45">
        <f>((($B45*(1+Company!$M$13))-E$43)*Company!$E$13*10000*Company!$G$13/100000000+Company!$H$13*10000*Paths!$C$16/100000000)*Company!$N$13</f>
        <v/>
      </c>
      <c r="F45">
        <f>((($B45*(1+Company!$M$13))-F$43)*Company!$E$13*10000*Company!$G$13/100000000+Company!$H$13*10000*Paths!$C$16/100000000)*Company!$N$13</f>
        <v/>
      </c>
      <c r="G45">
        <f>((($B45*(1+Company!$M$13))-G$43)*Company!$E$13*10000*Company!$G$13/100000000+Company!$H$13*10000*Paths!$C$16/100000000)*Company!$N$13</f>
        <v/>
      </c>
    </row>
    <row r="46">
      <c r="B46" t="n">
        <v>16</v>
      </c>
      <c r="C46">
        <f>((($B46*(1+Company!$M$13))-C$43)*Company!$E$13*10000*Company!$G$13/100000000+Company!$H$13*10000*Paths!$C$16/100000000)*Company!$N$13</f>
        <v/>
      </c>
      <c r="D46">
        <f>((($B46*(1+Company!$M$13))-D$43)*Company!$E$13*10000*Company!$G$13/100000000+Company!$H$13*10000*Paths!$C$16/100000000)*Company!$N$13</f>
        <v/>
      </c>
      <c r="E46">
        <f>((($B46*(1+Company!$M$13))-E$43)*Company!$E$13*10000*Company!$G$13/100000000+Company!$H$13*10000*Paths!$C$16/100000000)*Company!$N$13</f>
        <v/>
      </c>
      <c r="F46">
        <f>((($B46*(1+Company!$M$13))-F$43)*Company!$E$13*10000*Company!$G$13/100000000+Company!$H$13*10000*Paths!$C$16/100000000)*Company!$N$13</f>
        <v/>
      </c>
      <c r="G46">
        <f>((($B46*(1+Company!$M$13))-G$43)*Company!$E$13*10000*Company!$G$13/100000000+Company!$H$13*10000*Paths!$C$16/100000000)*Company!$N$13</f>
        <v/>
      </c>
    </row>
    <row r="47">
      <c r="B47" t="n">
        <v>18</v>
      </c>
      <c r="C47">
        <f>((($B47*(1+Company!$M$13))-C$43)*Company!$E$13*10000*Company!$G$13/100000000+Company!$H$13*10000*Paths!$C$16/100000000)*Company!$N$13</f>
        <v/>
      </c>
      <c r="D47">
        <f>((($B47*(1+Company!$M$13))-D$43)*Company!$E$13*10000*Company!$G$13/100000000+Company!$H$13*10000*Paths!$C$16/100000000)*Company!$N$13</f>
        <v/>
      </c>
      <c r="E47">
        <f>((($B47*(1+Company!$M$13))-E$43)*Company!$E$13*10000*Company!$G$13/100000000+Company!$H$13*10000*Paths!$C$16/100000000)*Company!$N$13</f>
        <v/>
      </c>
      <c r="F47">
        <f>((($B47*(1+Company!$M$13))-F$43)*Company!$E$13*10000*Company!$G$13/100000000+Company!$H$13*10000*Paths!$C$16/100000000)*Company!$N$13</f>
        <v/>
      </c>
      <c r="G47">
        <f>((($B47*(1+Company!$M$13))-G$43)*Company!$E$13*10000*Company!$G$13/100000000+Company!$H$13*10000*Paths!$C$16/100000000)*Company!$N$13</f>
        <v/>
      </c>
    </row>
    <row r="48">
      <c r="B48" t="n">
        <v>20</v>
      </c>
      <c r="C48">
        <f>((($B48*(1+Company!$M$13))-C$43)*Company!$E$13*10000*Company!$G$13/100000000+Company!$H$13*10000*Paths!$C$16/100000000)*Company!$N$13</f>
        <v/>
      </c>
      <c r="D48">
        <f>((($B48*(1+Company!$M$13))-D$43)*Company!$E$13*10000*Company!$G$13/100000000+Company!$H$13*10000*Paths!$C$16/100000000)*Company!$N$13</f>
        <v/>
      </c>
      <c r="E48">
        <f>((($B48*(1+Company!$M$13))-E$43)*Company!$E$13*10000*Company!$G$13/100000000+Company!$H$13*10000*Paths!$C$16/100000000)*Company!$N$13</f>
        <v/>
      </c>
      <c r="F48">
        <f>((($B48*(1+Company!$M$13))-F$43)*Company!$E$13*10000*Company!$G$13/100000000+Company!$H$13*10000*Paths!$C$16/100000000)*Company!$N$13</f>
        <v/>
      </c>
      <c r="G48">
        <f>((($B48*(1+Company!$M$13))-G$43)*Company!$E$13*10000*Company!$G$13/100000000+Company!$H$13*10000*Paths!$C$16/100000000)*Company!$N$13</f>
        <v/>
      </c>
    </row>
    <row r="49">
      <c r="B49" t="n">
        <v>22</v>
      </c>
      <c r="C49">
        <f>((($B49*(1+Company!$M$13))-C$43)*Company!$E$13*10000*Company!$G$13/100000000+Company!$H$13*10000*Paths!$C$16/100000000)*Company!$N$13</f>
        <v/>
      </c>
      <c r="D49">
        <f>((($B49*(1+Company!$M$13))-D$43)*Company!$E$13*10000*Company!$G$13/100000000+Company!$H$13*10000*Paths!$C$16/100000000)*Company!$N$13</f>
        <v/>
      </c>
      <c r="E49">
        <f>((($B49*(1+Company!$M$13))-E$43)*Company!$E$13*10000*Company!$G$13/100000000+Company!$H$13*10000*Paths!$C$16/100000000)*Company!$N$13</f>
        <v/>
      </c>
      <c r="F49">
        <f>((($B49*(1+Company!$M$13))-F$43)*Company!$E$13*10000*Company!$G$13/100000000+Company!$H$13*10000*Paths!$C$16/100000000)*Company!$N$13</f>
        <v/>
      </c>
      <c r="G49">
        <f>((($B49*(1+Company!$M$13))-G$43)*Company!$E$13*10000*Company!$G$13/100000000+Company!$H$13*10000*Paths!$C$16/100000000)*Company!$N$13</f>
        <v/>
      </c>
    </row>
    <row r="50">
      <c r="B50" t="inlineStr">
        <is>
          <t>当前市值</t>
        </is>
      </c>
      <c r="C50">
        <f>Company!C13</f>
        <v/>
      </c>
    </row>
    <row r="53">
      <c r="A53" s="1">
        <f>Company!B8</f>
        <v/>
      </c>
      <c r="B53" t="inlineStr">
        <is>
          <t>成本→</t>
        </is>
      </c>
      <c r="C53" t="n">
        <v>10.8</v>
      </c>
      <c r="D53" t="n">
        <v>11.3</v>
      </c>
      <c r="E53" t="n">
        <v>11.8</v>
      </c>
      <c r="F53" t="n">
        <v>12.3</v>
      </c>
      <c r="G53" t="n">
        <v>12.8</v>
      </c>
    </row>
    <row r="54">
      <c r="B54" t="n">
        <v>12</v>
      </c>
      <c r="C54">
        <f>((($B54*(1+Company!$M$8))-C$53)*Company!$E$8*10000*Company!$G$8/100000000+Company!$H$8*10000*Paths!$C$16/100000000)*Company!$N$8</f>
        <v/>
      </c>
      <c r="D54">
        <f>((($B54*(1+Company!$M$8))-D$53)*Company!$E$8*10000*Company!$G$8/100000000+Company!$H$8*10000*Paths!$C$16/100000000)*Company!$N$8</f>
        <v/>
      </c>
      <c r="E54">
        <f>((($B54*(1+Company!$M$8))-E$53)*Company!$E$8*10000*Company!$G$8/100000000+Company!$H$8*10000*Paths!$C$16/100000000)*Company!$N$8</f>
        <v/>
      </c>
      <c r="F54">
        <f>((($B54*(1+Company!$M$8))-F$53)*Company!$E$8*10000*Company!$G$8/100000000+Company!$H$8*10000*Paths!$C$16/100000000)*Company!$N$8</f>
        <v/>
      </c>
      <c r="G54">
        <f>((($B54*(1+Company!$M$8))-G$53)*Company!$E$8*10000*Company!$G$8/100000000+Company!$H$8*10000*Paths!$C$16/100000000)*Company!$N$8</f>
        <v/>
      </c>
    </row>
    <row r="55">
      <c r="B55" t="n">
        <v>14</v>
      </c>
      <c r="C55">
        <f>((($B55*(1+Company!$M$8))-C$53)*Company!$E$8*10000*Company!$G$8/100000000+Company!$H$8*10000*Paths!$C$16/100000000)*Company!$N$8</f>
        <v/>
      </c>
      <c r="D55">
        <f>((($B55*(1+Company!$M$8))-D$53)*Company!$E$8*10000*Company!$G$8/100000000+Company!$H$8*10000*Paths!$C$16/100000000)*Company!$N$8</f>
        <v/>
      </c>
      <c r="E55">
        <f>((($B55*(1+Company!$M$8))-E$53)*Company!$E$8*10000*Company!$G$8/100000000+Company!$H$8*10000*Paths!$C$16/100000000)*Company!$N$8</f>
        <v/>
      </c>
      <c r="F55">
        <f>((($B55*(1+Company!$M$8))-F$53)*Company!$E$8*10000*Company!$G$8/100000000+Company!$H$8*10000*Paths!$C$16/100000000)*Company!$N$8</f>
        <v/>
      </c>
      <c r="G55">
        <f>((($B55*(1+Company!$M$8))-G$53)*Company!$E$8*10000*Company!$G$8/100000000+Company!$H$8*10000*Paths!$C$16/100000000)*Company!$N$8</f>
        <v/>
      </c>
    </row>
    <row r="56">
      <c r="B56" t="n">
        <v>16</v>
      </c>
      <c r="C56">
        <f>((($B56*(1+Company!$M$8))-C$53)*Company!$E$8*10000*Company!$G$8/100000000+Company!$H$8*10000*Paths!$C$16/100000000)*Company!$N$8</f>
        <v/>
      </c>
      <c r="D56">
        <f>((($B56*(1+Company!$M$8))-D$53)*Company!$E$8*10000*Company!$G$8/100000000+Company!$H$8*10000*Paths!$C$16/100000000)*Company!$N$8</f>
        <v/>
      </c>
      <c r="E56">
        <f>((($B56*(1+Company!$M$8))-E$53)*Company!$E$8*10000*Company!$G$8/100000000+Company!$H$8*10000*Paths!$C$16/100000000)*Company!$N$8</f>
        <v/>
      </c>
      <c r="F56">
        <f>((($B56*(1+Company!$M$8))-F$53)*Company!$E$8*10000*Company!$G$8/100000000+Company!$H$8*10000*Paths!$C$16/100000000)*Company!$N$8</f>
        <v/>
      </c>
      <c r="G56">
        <f>((($B56*(1+Company!$M$8))-G$53)*Company!$E$8*10000*Company!$G$8/100000000+Company!$H$8*10000*Paths!$C$16/100000000)*Company!$N$8</f>
        <v/>
      </c>
    </row>
    <row r="57">
      <c r="B57" t="n">
        <v>18</v>
      </c>
      <c r="C57">
        <f>((($B57*(1+Company!$M$8))-C$53)*Company!$E$8*10000*Company!$G$8/100000000+Company!$H$8*10000*Paths!$C$16/100000000)*Company!$N$8</f>
        <v/>
      </c>
      <c r="D57">
        <f>((($B57*(1+Company!$M$8))-D$53)*Company!$E$8*10000*Company!$G$8/100000000+Company!$H$8*10000*Paths!$C$16/100000000)*Company!$N$8</f>
        <v/>
      </c>
      <c r="E57">
        <f>((($B57*(1+Company!$M$8))-E$53)*Company!$E$8*10000*Company!$G$8/100000000+Company!$H$8*10000*Paths!$C$16/100000000)*Company!$N$8</f>
        <v/>
      </c>
      <c r="F57">
        <f>((($B57*(1+Company!$M$8))-F$53)*Company!$E$8*10000*Company!$G$8/100000000+Company!$H$8*10000*Paths!$C$16/100000000)*Company!$N$8</f>
        <v/>
      </c>
      <c r="G57">
        <f>((($B57*(1+Company!$M$8))-G$53)*Company!$E$8*10000*Company!$G$8/100000000+Company!$H$8*10000*Paths!$C$16/100000000)*Company!$N$8</f>
        <v/>
      </c>
    </row>
    <row r="58">
      <c r="B58" t="n">
        <v>20</v>
      </c>
      <c r="C58">
        <f>((($B58*(1+Company!$M$8))-C$53)*Company!$E$8*10000*Company!$G$8/100000000+Company!$H$8*10000*Paths!$C$16/100000000)*Company!$N$8</f>
        <v/>
      </c>
      <c r="D58">
        <f>((($B58*(1+Company!$M$8))-D$53)*Company!$E$8*10000*Company!$G$8/100000000+Company!$H$8*10000*Paths!$C$16/100000000)*Company!$N$8</f>
        <v/>
      </c>
      <c r="E58">
        <f>((($B58*(1+Company!$M$8))-E$53)*Company!$E$8*10000*Company!$G$8/100000000+Company!$H$8*10000*Paths!$C$16/100000000)*Company!$N$8</f>
        <v/>
      </c>
      <c r="F58">
        <f>((($B58*(1+Company!$M$8))-F$53)*Company!$E$8*10000*Company!$G$8/100000000+Company!$H$8*10000*Paths!$C$16/100000000)*Company!$N$8</f>
        <v/>
      </c>
      <c r="G58">
        <f>((($B58*(1+Company!$M$8))-G$53)*Company!$E$8*10000*Company!$G$8/100000000+Company!$H$8*10000*Paths!$C$16/100000000)*Company!$N$8</f>
        <v/>
      </c>
    </row>
    <row r="59">
      <c r="B59" t="n">
        <v>22</v>
      </c>
      <c r="C59">
        <f>((($B59*(1+Company!$M$8))-C$53)*Company!$E$8*10000*Company!$G$8/100000000+Company!$H$8*10000*Paths!$C$16/100000000)*Company!$N$8</f>
        <v/>
      </c>
      <c r="D59">
        <f>((($B59*(1+Company!$M$8))-D$53)*Company!$E$8*10000*Company!$G$8/100000000+Company!$H$8*10000*Paths!$C$16/100000000)*Company!$N$8</f>
        <v/>
      </c>
      <c r="E59">
        <f>((($B59*(1+Company!$M$8))-E$53)*Company!$E$8*10000*Company!$G$8/100000000+Company!$H$8*10000*Paths!$C$16/100000000)*Company!$N$8</f>
        <v/>
      </c>
      <c r="F59">
        <f>((($B59*(1+Company!$M$8))-F$53)*Company!$E$8*10000*Company!$G$8/100000000+Company!$H$8*10000*Paths!$C$16/100000000)*Company!$N$8</f>
        <v/>
      </c>
      <c r="G59">
        <f>((($B59*(1+Company!$M$8))-G$53)*Company!$E$8*10000*Company!$G$8/100000000+Company!$H$8*10000*Paths!$C$16/100000000)*Company!$N$8</f>
        <v/>
      </c>
    </row>
    <row r="60">
      <c r="B60" t="inlineStr">
        <is>
          <t>当前市值</t>
        </is>
      </c>
      <c r="C60">
        <f>Company!C8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历史校准：市值峰值 / 峰值年度归母净利润（窗口：非瘟2018-07~2021-12；2022轮2022-01~2023-06；2024轮2024-01~2025-06）</t>
        </is>
      </c>
    </row>
    <row r="3">
      <c r="A3" s="2" t="inlineStr">
        <is>
          <t>cycle</t>
        </is>
      </c>
      <c r="B3" s="2" t="inlineStr">
        <is>
          <t>name</t>
        </is>
      </c>
      <c r="C3" s="2" t="inlineStr">
        <is>
          <t>peak_date</t>
        </is>
      </c>
      <c r="D3" s="2" t="inlineStr">
        <is>
          <t>peak_mc</t>
        </is>
      </c>
      <c r="E3" s="2" t="inlineStr">
        <is>
          <t>peak_year_np</t>
        </is>
      </c>
      <c r="F3" s="2" t="inlineStr">
        <is>
          <t>pe_on_peak_year_np</t>
        </is>
      </c>
      <c r="G3" s="2" t="inlineStr">
        <is>
          <t>np2019</t>
        </is>
      </c>
      <c r="H3" s="2" t="inlineStr">
        <is>
          <t>np2020</t>
        </is>
      </c>
      <c r="I3" s="2" t="inlineStr">
        <is>
          <t>np2021</t>
        </is>
      </c>
      <c r="J3" s="2" t="inlineStr">
        <is>
          <t>np2022</t>
        </is>
      </c>
      <c r="K3" s="2" t="inlineStr">
        <is>
          <t>np2024</t>
        </is>
      </c>
    </row>
    <row r="4">
      <c r="A4" t="inlineStr">
        <is>
          <t>ASF</t>
        </is>
      </c>
      <c r="B4" t="inlineStr">
        <is>
          <t>牧原</t>
        </is>
      </c>
      <c r="C4" t="inlineStr">
        <is>
          <t>2021-02-19</t>
        </is>
      </c>
      <c r="D4" t="n">
        <v>4770.6</v>
      </c>
      <c r="E4" t="n">
        <v>274.51</v>
      </c>
      <c r="F4" t="n">
        <v>17.4</v>
      </c>
      <c r="G4" t="n">
        <v>61.14</v>
      </c>
      <c r="H4" t="n">
        <v>274.51</v>
      </c>
      <c r="I4" t="n">
        <v>69.04000000000001</v>
      </c>
    </row>
    <row r="5">
      <c r="A5" t="inlineStr">
        <is>
          <t>2022</t>
        </is>
      </c>
      <c r="B5" t="inlineStr">
        <is>
          <t>牧原</t>
        </is>
      </c>
      <c r="C5" t="inlineStr">
        <is>
          <t>2022-07-11</t>
        </is>
      </c>
      <c r="D5" t="n">
        <v>3466.8</v>
      </c>
      <c r="E5" t="n">
        <v>132.66</v>
      </c>
      <c r="F5" t="n">
        <v>26.1</v>
      </c>
      <c r="J5" t="n">
        <v>132.66</v>
      </c>
    </row>
    <row r="6">
      <c r="A6" t="inlineStr">
        <is>
          <t>2024</t>
        </is>
      </c>
      <c r="B6" t="inlineStr">
        <is>
          <t>牧原</t>
        </is>
      </c>
      <c r="C6" t="inlineStr">
        <is>
          <t>2024-05-20</t>
        </is>
      </c>
      <c r="D6" t="n">
        <v>2697.2</v>
      </c>
      <c r="E6" t="n">
        <v>178.81</v>
      </c>
      <c r="F6" t="n">
        <v>15.1</v>
      </c>
      <c r="K6" t="n">
        <v>178.81</v>
      </c>
    </row>
    <row r="7">
      <c r="A7" t="inlineStr">
        <is>
          <t>ASF</t>
        </is>
      </c>
      <c r="B7" t="inlineStr">
        <is>
          <t>温氏</t>
        </is>
      </c>
      <c r="C7" t="inlineStr">
        <is>
          <t>2019-03-12</t>
        </is>
      </c>
      <c r="D7" t="n">
        <v>2407.9</v>
      </c>
      <c r="E7" t="n">
        <v>139.67</v>
      </c>
      <c r="F7" t="n">
        <v>17.2</v>
      </c>
      <c r="G7" t="n">
        <v>139.67</v>
      </c>
      <c r="H7" t="n">
        <v>74.26000000000001</v>
      </c>
      <c r="I7" t="n">
        <v>-134.04</v>
      </c>
    </row>
    <row r="8">
      <c r="A8" t="inlineStr">
        <is>
          <t>2022</t>
        </is>
      </c>
      <c r="B8" t="inlineStr">
        <is>
          <t>温氏</t>
        </is>
      </c>
      <c r="C8" t="inlineStr">
        <is>
          <t>2022-07-11</t>
        </is>
      </c>
      <c r="D8" t="n">
        <v>1666.6</v>
      </c>
      <c r="E8" t="n">
        <v>52.89</v>
      </c>
      <c r="F8" t="n">
        <v>31.5</v>
      </c>
      <c r="J8" t="n">
        <v>52.89</v>
      </c>
    </row>
    <row r="9">
      <c r="A9" t="inlineStr">
        <is>
          <t>2024</t>
        </is>
      </c>
      <c r="B9" t="inlineStr">
        <is>
          <t>温氏</t>
        </is>
      </c>
      <c r="C9" t="inlineStr">
        <is>
          <t>2024-05-27</t>
        </is>
      </c>
      <c r="D9" t="n">
        <v>1486.1</v>
      </c>
      <c r="E9" t="n">
        <v>92.8</v>
      </c>
      <c r="F9" t="n">
        <v>16</v>
      </c>
      <c r="K9" t="n">
        <v>92.8</v>
      </c>
    </row>
    <row r="10">
      <c r="A10" t="inlineStr">
        <is>
          <t>ASF</t>
        </is>
      </c>
      <c r="B10" t="inlineStr">
        <is>
          <t>正邦</t>
        </is>
      </c>
      <c r="C10" t="inlineStr">
        <is>
          <t>2020-08-07</t>
        </is>
      </c>
      <c r="D10" t="n">
        <v>659.5</v>
      </c>
      <c r="E10" t="n">
        <v>57.44</v>
      </c>
      <c r="F10" t="n">
        <v>11.5</v>
      </c>
      <c r="G10" t="n">
        <v>16.47</v>
      </c>
      <c r="H10" t="n">
        <v>57.44</v>
      </c>
      <c r="I10" t="n">
        <v>-188.19</v>
      </c>
    </row>
    <row r="11">
      <c r="A11" t="inlineStr">
        <is>
          <t>2022</t>
        </is>
      </c>
      <c r="B11" t="inlineStr">
        <is>
          <t>正邦</t>
        </is>
      </c>
      <c r="C11" t="inlineStr">
        <is>
          <t>2022-01-10</t>
        </is>
      </c>
      <c r="D11" t="n">
        <v>347</v>
      </c>
      <c r="E11" t="n">
        <v>-133.86</v>
      </c>
      <c r="J11" t="n">
        <v>-133.86</v>
      </c>
    </row>
    <row r="12">
      <c r="A12" t="inlineStr">
        <is>
          <t>2024</t>
        </is>
      </c>
      <c r="B12" t="inlineStr">
        <is>
          <t>正邦</t>
        </is>
      </c>
      <c r="C12" t="inlineStr">
        <is>
          <t>2024-06-13</t>
        </is>
      </c>
      <c r="D12" t="n">
        <v>322.8</v>
      </c>
      <c r="E12" t="n">
        <v>2.16</v>
      </c>
      <c r="F12" t="n">
        <v>149.2</v>
      </c>
      <c r="K12" t="n">
        <v>2.16</v>
      </c>
    </row>
    <row r="13">
      <c r="A13" t="inlineStr">
        <is>
          <t>ASF</t>
        </is>
      </c>
      <c r="B13" t="inlineStr">
        <is>
          <t>天邦</t>
        </is>
      </c>
      <c r="C13" t="inlineStr">
        <is>
          <t>2019-04-24</t>
        </is>
      </c>
      <c r="D13" t="n">
        <v>257.4</v>
      </c>
      <c r="E13" t="n">
        <v>32.45</v>
      </c>
      <c r="F13" t="n">
        <v>7.9</v>
      </c>
      <c r="G13" t="n">
        <v>1</v>
      </c>
      <c r="H13" t="n">
        <v>32.45</v>
      </c>
      <c r="I13" t="n">
        <v>-44.62</v>
      </c>
    </row>
    <row r="14">
      <c r="A14" t="inlineStr">
        <is>
          <t>2022</t>
        </is>
      </c>
      <c r="B14" t="inlineStr">
        <is>
          <t>天邦</t>
        </is>
      </c>
      <c r="C14" t="inlineStr">
        <is>
          <t>2022-04-18</t>
        </is>
      </c>
      <c r="D14" t="n">
        <v>171.8</v>
      </c>
      <c r="E14" t="n">
        <v>4.89</v>
      </c>
      <c r="F14" t="n">
        <v>35.1</v>
      </c>
      <c r="J14" t="n">
        <v>4.89</v>
      </c>
    </row>
    <row r="15">
      <c r="A15" t="inlineStr">
        <is>
          <t>2024</t>
        </is>
      </c>
      <c r="B15" t="inlineStr">
        <is>
          <t>天邦</t>
        </is>
      </c>
      <c r="C15" t="inlineStr">
        <is>
          <t>2024-01-02</t>
        </is>
      </c>
      <c r="D15" t="n">
        <v>81.5</v>
      </c>
      <c r="E15" t="n">
        <v>14.59</v>
      </c>
      <c r="F15" t="n">
        <v>5.6</v>
      </c>
      <c r="K15" t="n">
        <v>14.59</v>
      </c>
    </row>
    <row r="16">
      <c r="A16" t="inlineStr">
        <is>
          <t>ASF</t>
        </is>
      </c>
      <c r="B16" t="inlineStr">
        <is>
          <t>新希望</t>
        </is>
      </c>
      <c r="C16" t="inlineStr">
        <is>
          <t>2020-09-02</t>
        </is>
      </c>
      <c r="D16" t="n">
        <v>1739.5</v>
      </c>
      <c r="E16" t="n">
        <v>50.42</v>
      </c>
      <c r="F16" t="n">
        <v>34.5</v>
      </c>
      <c r="G16" t="n">
        <v>50.42</v>
      </c>
      <c r="H16" t="n">
        <v>49.44</v>
      </c>
      <c r="I16" t="n">
        <v>-95.91</v>
      </c>
    </row>
    <row r="17">
      <c r="A17" t="inlineStr">
        <is>
          <t>2022</t>
        </is>
      </c>
      <c r="B17" t="inlineStr">
        <is>
          <t>新希望</t>
        </is>
      </c>
      <c r="C17" t="inlineStr">
        <is>
          <t>2022-01-10</t>
        </is>
      </c>
      <c r="D17" t="n">
        <v>829.4</v>
      </c>
      <c r="E17" t="n">
        <v>-14.6</v>
      </c>
      <c r="J17" t="n">
        <v>-14.6</v>
      </c>
    </row>
    <row r="18">
      <c r="A18" t="inlineStr">
        <is>
          <t>2024</t>
        </is>
      </c>
      <c r="B18" t="inlineStr">
        <is>
          <t>新希望</t>
        </is>
      </c>
      <c r="C18" t="inlineStr">
        <is>
          <t>2025-04-08</t>
        </is>
      </c>
      <c r="D18" t="n">
        <v>499.7</v>
      </c>
      <c r="E18" t="n">
        <v>4.74</v>
      </c>
      <c r="F18" t="n">
        <v>105.5</v>
      </c>
      <c r="K18" t="n">
        <v>4.74</v>
      </c>
    </row>
    <row r="19">
      <c r="A19" t="inlineStr">
        <is>
          <t>ASF</t>
        </is>
      </c>
      <c r="B19" t="inlineStr">
        <is>
          <t>唐人神</t>
        </is>
      </c>
      <c r="C19" t="inlineStr">
        <is>
          <t>2019-04-24</t>
        </is>
      </c>
      <c r="D19" t="n">
        <v>149.1</v>
      </c>
      <c r="E19" t="n">
        <v>9.5</v>
      </c>
      <c r="F19" t="n">
        <v>15.7</v>
      </c>
      <c r="G19" t="n">
        <v>2.02</v>
      </c>
      <c r="H19" t="n">
        <v>9.5</v>
      </c>
      <c r="I19" t="n">
        <v>-11.47</v>
      </c>
    </row>
    <row r="20">
      <c r="A20" t="inlineStr">
        <is>
          <t>2022</t>
        </is>
      </c>
      <c r="B20" t="inlineStr">
        <is>
          <t>唐人神</t>
        </is>
      </c>
      <c r="C20" t="inlineStr">
        <is>
          <t>2022-03-29</t>
        </is>
      </c>
      <c r="D20" t="n">
        <v>133.5</v>
      </c>
      <c r="E20" t="n">
        <v>1.35</v>
      </c>
      <c r="F20" t="n">
        <v>98.8</v>
      </c>
      <c r="J20" t="n">
        <v>1.35</v>
      </c>
    </row>
    <row r="21">
      <c r="A21" t="inlineStr">
        <is>
          <t>2024</t>
        </is>
      </c>
      <c r="B21" t="inlineStr">
        <is>
          <t>唐人神</t>
        </is>
      </c>
      <c r="C21" t="inlineStr">
        <is>
          <t>2024-01-02</t>
        </is>
      </c>
      <c r="D21" t="n">
        <v>108.9</v>
      </c>
      <c r="E21" t="n">
        <v>3.55</v>
      </c>
      <c r="F21" t="n">
        <v>30.6</v>
      </c>
      <c r="K21" t="n">
        <v>3.55</v>
      </c>
    </row>
    <row r="22">
      <c r="A22" t="inlineStr">
        <is>
          <t>ASF</t>
        </is>
      </c>
      <c r="B22" t="inlineStr">
        <is>
          <t>天康</t>
        </is>
      </c>
      <c r="C22" t="inlineStr">
        <is>
          <t>2020-07-14</t>
        </is>
      </c>
      <c r="D22" t="n">
        <v>203.4</v>
      </c>
      <c r="E22" t="n">
        <v>17.2</v>
      </c>
      <c r="F22" t="n">
        <v>11.8</v>
      </c>
      <c r="G22" t="n">
        <v>6.44</v>
      </c>
      <c r="H22" t="n">
        <v>17.2</v>
      </c>
      <c r="I22" t="n">
        <v>-7.03</v>
      </c>
    </row>
    <row r="23">
      <c r="A23" t="inlineStr">
        <is>
          <t>2022</t>
        </is>
      </c>
      <c r="B23" t="inlineStr">
        <is>
          <t>天康</t>
        </is>
      </c>
      <c r="C23" t="inlineStr">
        <is>
          <t>2022-02-10</t>
        </is>
      </c>
      <c r="D23" t="n">
        <v>172.6</v>
      </c>
      <c r="E23" t="n">
        <v>2.81</v>
      </c>
      <c r="F23" t="n">
        <v>61.5</v>
      </c>
      <c r="J23" t="n">
        <v>2.81</v>
      </c>
    </row>
    <row r="24">
      <c r="A24" t="inlineStr">
        <is>
          <t>2024</t>
        </is>
      </c>
      <c r="B24" t="inlineStr">
        <is>
          <t>天康</t>
        </is>
      </c>
      <c r="C24" t="inlineStr">
        <is>
          <t>2024-01-02</t>
        </is>
      </c>
      <c r="D24" t="n">
        <v>121</v>
      </c>
      <c r="E24" t="n">
        <v>6.05</v>
      </c>
      <c r="F24" t="n">
        <v>20</v>
      </c>
      <c r="K24" t="n">
        <v>6.05</v>
      </c>
    </row>
    <row r="25">
      <c r="A25" t="inlineStr">
        <is>
          <t>ASF</t>
        </is>
      </c>
      <c r="B25" t="inlineStr">
        <is>
          <t>大北农</t>
        </is>
      </c>
      <c r="C25" t="inlineStr">
        <is>
          <t>2020-08-19</t>
        </is>
      </c>
      <c r="D25" t="n">
        <v>524</v>
      </c>
      <c r="E25" t="n">
        <v>19.56</v>
      </c>
      <c r="F25" t="n">
        <v>26.8</v>
      </c>
      <c r="G25" t="n">
        <v>5.13</v>
      </c>
      <c r="H25" t="n">
        <v>19.56</v>
      </c>
      <c r="I25" t="n">
        <v>-4.4</v>
      </c>
    </row>
    <row r="26">
      <c r="A26" t="inlineStr">
        <is>
          <t>2022</t>
        </is>
      </c>
      <c r="B26" t="inlineStr">
        <is>
          <t>大北农</t>
        </is>
      </c>
      <c r="C26" t="inlineStr">
        <is>
          <t>2022-01-04</t>
        </is>
      </c>
      <c r="D26" t="n">
        <v>453.1</v>
      </c>
      <c r="E26" t="n">
        <v>0.51</v>
      </c>
      <c r="F26" t="n">
        <v>887</v>
      </c>
      <c r="J26" t="n">
        <v>0.51</v>
      </c>
    </row>
    <row r="27">
      <c r="A27" t="inlineStr">
        <is>
          <t>2024</t>
        </is>
      </c>
      <c r="B27" t="inlineStr">
        <is>
          <t>大北农</t>
        </is>
      </c>
      <c r="C27" t="inlineStr">
        <is>
          <t>2024-01-02</t>
        </is>
      </c>
      <c r="D27" t="n">
        <v>244.4</v>
      </c>
      <c r="E27" t="n">
        <v>3.46</v>
      </c>
      <c r="F27" t="n">
        <v>70.7</v>
      </c>
      <c r="K27" t="n">
        <v>3.46</v>
      </c>
    </row>
    <row r="28">
      <c r="A28" t="inlineStr">
        <is>
          <t>ASF</t>
        </is>
      </c>
      <c r="B28" t="inlineStr">
        <is>
          <t>傲农</t>
        </is>
      </c>
      <c r="C28" t="inlineStr">
        <is>
          <t>2020-08-24</t>
        </is>
      </c>
      <c r="D28" t="n">
        <v>136.8</v>
      </c>
      <c r="E28" t="n">
        <v>5.73</v>
      </c>
      <c r="F28" t="n">
        <v>23.9</v>
      </c>
      <c r="G28" t="n">
        <v>0.29</v>
      </c>
      <c r="H28" t="n">
        <v>5.73</v>
      </c>
      <c r="I28" t="n">
        <v>-15.2</v>
      </c>
    </row>
    <row r="29">
      <c r="A29" t="inlineStr">
        <is>
          <t>2022</t>
        </is>
      </c>
      <c r="B29" t="inlineStr">
        <is>
          <t>傲农</t>
        </is>
      </c>
      <c r="C29" t="inlineStr">
        <is>
          <t>2022-07-11</t>
        </is>
      </c>
      <c r="D29" t="n">
        <v>210.3</v>
      </c>
      <c r="E29" t="n">
        <v>-10.38</v>
      </c>
      <c r="J29" t="n">
        <v>-10.38</v>
      </c>
    </row>
    <row r="30">
      <c r="A30" t="inlineStr">
        <is>
          <t>2024</t>
        </is>
      </c>
      <c r="B30" t="inlineStr">
        <is>
          <t>傲农</t>
        </is>
      </c>
      <c r="C30" t="inlineStr">
        <is>
          <t>2025-05-16</t>
        </is>
      </c>
      <c r="D30" t="n">
        <v>105.2</v>
      </c>
      <c r="E30" t="n">
        <v>5.79</v>
      </c>
      <c r="F30" t="n">
        <v>18.2</v>
      </c>
      <c r="K30" t="n">
        <v>5.79</v>
      </c>
    </row>
    <row r="31">
      <c r="A31" t="inlineStr">
        <is>
          <t>ASF</t>
        </is>
      </c>
      <c r="B31" t="inlineStr">
        <is>
          <t>金新农</t>
        </is>
      </c>
      <c r="C31" t="inlineStr">
        <is>
          <t>2021-01-07</t>
        </is>
      </c>
      <c r="D31" t="n">
        <v>72.09999999999999</v>
      </c>
      <c r="E31" t="n">
        <v>1.41</v>
      </c>
      <c r="F31" t="n">
        <v>51.3</v>
      </c>
      <c r="G31" t="n">
        <v>1.41</v>
      </c>
      <c r="H31" t="n">
        <v>1.32</v>
      </c>
      <c r="I31" t="n">
        <v>-9.92</v>
      </c>
    </row>
    <row r="32">
      <c r="A32" t="inlineStr">
        <is>
          <t>2022</t>
        </is>
      </c>
      <c r="B32" t="inlineStr">
        <is>
          <t>金新农</t>
        </is>
      </c>
      <c r="C32" t="inlineStr">
        <is>
          <t>2023-06-30</t>
        </is>
      </c>
      <c r="D32" t="n">
        <v>61.7</v>
      </c>
      <c r="E32" t="n">
        <v>0.2</v>
      </c>
      <c r="F32" t="n">
        <v>310.7</v>
      </c>
      <c r="J32" t="n">
        <v>0.2</v>
      </c>
    </row>
    <row r="33">
      <c r="A33" t="inlineStr">
        <is>
          <t>2024</t>
        </is>
      </c>
      <c r="B33" t="inlineStr">
        <is>
          <t>金新农</t>
        </is>
      </c>
      <c r="C33" t="inlineStr">
        <is>
          <t>2024-01-02</t>
        </is>
      </c>
      <c r="D33" t="n">
        <v>45.2</v>
      </c>
      <c r="E33" t="n">
        <v>0.3</v>
      </c>
      <c r="F33" t="n">
        <v>149.9</v>
      </c>
      <c r="K33" t="n">
        <v>0.3</v>
      </c>
    </row>
    <row r="34">
      <c r="A34" t="inlineStr">
        <is>
          <t>ASF</t>
        </is>
      </c>
      <c r="B34" t="inlineStr">
        <is>
          <t>京基</t>
        </is>
      </c>
      <c r="C34" t="inlineStr">
        <is>
          <t>2020-09-17</t>
        </is>
      </c>
      <c r="D34" t="n">
        <v>174.4</v>
      </c>
      <c r="E34" t="n">
        <v>11.01</v>
      </c>
      <c r="F34" t="n">
        <v>15.8</v>
      </c>
      <c r="G34" t="n">
        <v>11.01</v>
      </c>
      <c r="H34" t="n">
        <v>8.67</v>
      </c>
      <c r="I34" t="n">
        <v>3.89</v>
      </c>
    </row>
    <row r="35">
      <c r="A35" t="inlineStr">
        <is>
          <t>2022</t>
        </is>
      </c>
      <c r="B35" t="inlineStr">
        <is>
          <t>京基</t>
        </is>
      </c>
      <c r="C35" t="inlineStr">
        <is>
          <t>2022-04-18</t>
        </is>
      </c>
      <c r="D35" t="n">
        <v>135.6</v>
      </c>
      <c r="E35" t="n">
        <v>7.73</v>
      </c>
      <c r="F35" t="n">
        <v>17.5</v>
      </c>
      <c r="J35" t="n">
        <v>7.73</v>
      </c>
    </row>
    <row r="36">
      <c r="A36" t="inlineStr">
        <is>
          <t>2024</t>
        </is>
      </c>
      <c r="B36" t="inlineStr">
        <is>
          <t>京基</t>
        </is>
      </c>
      <c r="C36" t="inlineStr">
        <is>
          <t>2024-12-04</t>
        </is>
      </c>
      <c r="D36" t="n">
        <v>100.8</v>
      </c>
      <c r="E36" t="n">
        <v>7.14</v>
      </c>
      <c r="F36" t="n">
        <v>14.1</v>
      </c>
      <c r="K36" t="n">
        <v>7.14</v>
      </c>
    </row>
    <row r="37">
      <c r="A37" t="inlineStr">
        <is>
          <t>ASF</t>
        </is>
      </c>
      <c r="B37" t="inlineStr">
        <is>
          <t>新五丰</t>
        </is>
      </c>
      <c r="C37" t="inlineStr">
        <is>
          <t>2019-04-22</t>
        </is>
      </c>
      <c r="D37" t="n">
        <v>102.8</v>
      </c>
      <c r="E37" t="n">
        <v>2.83</v>
      </c>
      <c r="F37" t="n">
        <v>36.4</v>
      </c>
      <c r="G37" t="n">
        <v>0.63</v>
      </c>
      <c r="H37" t="n">
        <v>2.83</v>
      </c>
      <c r="I37" t="n">
        <v>-2.96</v>
      </c>
    </row>
    <row r="38">
      <c r="A38" t="inlineStr">
        <is>
          <t>2022</t>
        </is>
      </c>
      <c r="B38" t="inlineStr">
        <is>
          <t>新五丰</t>
        </is>
      </c>
      <c r="C38" t="inlineStr">
        <is>
          <t>2023-04-06</t>
        </is>
      </c>
      <c r="D38" t="n">
        <v>141</v>
      </c>
      <c r="E38" t="n">
        <v>-0.78</v>
      </c>
      <c r="J38" t="n">
        <v>-0.78</v>
      </c>
    </row>
    <row r="39">
      <c r="A39" t="inlineStr">
        <is>
          <t>2024</t>
        </is>
      </c>
      <c r="B39" t="inlineStr">
        <is>
          <t>新五丰</t>
        </is>
      </c>
      <c r="C39" t="inlineStr">
        <is>
          <t>2024-01-16</t>
        </is>
      </c>
      <c r="D39" t="n">
        <v>141.3</v>
      </c>
      <c r="E39" t="n">
        <v>0.39</v>
      </c>
      <c r="F39" t="n">
        <v>359.3</v>
      </c>
      <c r="K39" t="n">
        <v>0.39</v>
      </c>
    </row>
    <row r="40">
      <c r="A40" t="inlineStr">
        <is>
          <t>ASF</t>
        </is>
      </c>
      <c r="B40" t="inlineStr">
        <is>
          <t>神农</t>
        </is>
      </c>
      <c r="C40" t="inlineStr">
        <is>
          <t>2021-05-28</t>
        </is>
      </c>
      <c r="D40" t="n">
        <v>228.1</v>
      </c>
      <c r="E40" t="n">
        <v>11.38</v>
      </c>
      <c r="F40" t="n">
        <v>20</v>
      </c>
      <c r="G40" t="n">
        <v>4.69</v>
      </c>
      <c r="H40" t="n">
        <v>11.38</v>
      </c>
      <c r="I40" t="n">
        <v>2.45</v>
      </c>
    </row>
    <row r="41">
      <c r="A41" t="inlineStr">
        <is>
          <t>2022</t>
        </is>
      </c>
      <c r="B41" t="inlineStr">
        <is>
          <t>神农</t>
        </is>
      </c>
      <c r="C41" t="inlineStr">
        <is>
          <t>2022-01-10</t>
        </is>
      </c>
      <c r="D41" t="n">
        <v>168</v>
      </c>
      <c r="E41" t="n">
        <v>2.56</v>
      </c>
      <c r="F41" t="n">
        <v>65.8</v>
      </c>
      <c r="J41" t="n">
        <v>2.56</v>
      </c>
    </row>
    <row r="42">
      <c r="A42" t="inlineStr">
        <is>
          <t>2024</t>
        </is>
      </c>
      <c r="B42" t="inlineStr">
        <is>
          <t>神农</t>
        </is>
      </c>
      <c r="C42" t="inlineStr">
        <is>
          <t>2024-05-20</t>
        </is>
      </c>
      <c r="D42" t="n">
        <v>236.2</v>
      </c>
      <c r="E42" t="n">
        <v>6.87</v>
      </c>
      <c r="F42" t="n">
        <v>34.4</v>
      </c>
      <c r="K42" t="n">
        <v>6.87</v>
      </c>
    </row>
    <row r="43">
      <c r="A43" t="inlineStr">
        <is>
          <t>ASF</t>
        </is>
      </c>
      <c r="B43" t="inlineStr">
        <is>
          <t>巨星</t>
        </is>
      </c>
      <c r="C43" t="inlineStr">
        <is>
          <t>2021-04-08</t>
        </is>
      </c>
      <c r="D43" t="n">
        <v>86.09999999999999</v>
      </c>
      <c r="E43" t="n">
        <v>2.59</v>
      </c>
      <c r="F43" t="n">
        <v>33.2</v>
      </c>
      <c r="G43" t="n">
        <v>0.4</v>
      </c>
      <c r="H43" t="n">
        <v>1.28</v>
      </c>
      <c r="I43" t="n">
        <v>2.59</v>
      </c>
    </row>
    <row r="44">
      <c r="A44" t="inlineStr">
        <is>
          <t>2022</t>
        </is>
      </c>
      <c r="B44" t="inlineStr">
        <is>
          <t>巨星</t>
        </is>
      </c>
      <c r="C44" t="inlineStr">
        <is>
          <t>2023-04-06</t>
        </is>
      </c>
      <c r="D44" t="n">
        <v>182.5</v>
      </c>
      <c r="E44" t="n">
        <v>1.58</v>
      </c>
      <c r="F44" t="n">
        <v>115.4</v>
      </c>
      <c r="J44" t="n">
        <v>1.58</v>
      </c>
    </row>
    <row r="45">
      <c r="A45" t="inlineStr">
        <is>
          <t>2024</t>
        </is>
      </c>
      <c r="B45" t="inlineStr">
        <is>
          <t>巨星</t>
        </is>
      </c>
      <c r="C45" t="inlineStr">
        <is>
          <t>2024-01-02</t>
        </is>
      </c>
      <c r="D45" t="n">
        <v>190.3</v>
      </c>
      <c r="E45" t="n">
        <v>5.19</v>
      </c>
      <c r="F45" t="n">
        <v>36.7</v>
      </c>
      <c r="K45" t="n">
        <v>5.19</v>
      </c>
    </row>
    <row r="46">
      <c r="A46" t="inlineStr">
        <is>
          <t>ASF</t>
        </is>
      </c>
      <c r="B46" t="inlineStr">
        <is>
          <t>东瑞</t>
        </is>
      </c>
      <c r="C46" t="inlineStr">
        <is>
          <t>2021-04-28</t>
        </is>
      </c>
      <c r="D46" t="n">
        <v>86.7</v>
      </c>
      <c r="E46" t="n">
        <v>6.81</v>
      </c>
      <c r="F46" t="n">
        <v>12.7</v>
      </c>
      <c r="G46" t="n">
        <v>2.62</v>
      </c>
      <c r="H46" t="n">
        <v>6.81</v>
      </c>
      <c r="I46" t="n">
        <v>2.12</v>
      </c>
    </row>
    <row r="47">
      <c r="A47" t="inlineStr">
        <is>
          <t>2022</t>
        </is>
      </c>
      <c r="B47" t="inlineStr">
        <is>
          <t>东瑞</t>
        </is>
      </c>
      <c r="C47" t="inlineStr">
        <is>
          <t>2022-07-11</t>
        </is>
      </c>
      <c r="D47" t="n">
        <v>101.9</v>
      </c>
      <c r="E47" t="n">
        <v>0.43</v>
      </c>
      <c r="F47" t="n">
        <v>237.5</v>
      </c>
      <c r="J47" t="n">
        <v>0.43</v>
      </c>
    </row>
    <row r="48">
      <c r="A48" t="inlineStr">
        <is>
          <t>2024</t>
        </is>
      </c>
      <c r="B48" t="inlineStr">
        <is>
          <t>东瑞</t>
        </is>
      </c>
      <c r="C48" t="inlineStr">
        <is>
          <t>2024-05-20</t>
        </is>
      </c>
      <c r="D48" t="n">
        <v>66.40000000000001</v>
      </c>
      <c r="E48" t="n">
        <v>-0.66</v>
      </c>
      <c r="K48" t="n">
        <v>-0.66</v>
      </c>
    </row>
    <row r="49">
      <c r="A49" t="inlineStr">
        <is>
          <t>ASF</t>
        </is>
      </c>
      <c r="B49" t="inlineStr">
        <is>
          <t>华统</t>
        </is>
      </c>
      <c r="C49" t="inlineStr">
        <is>
          <t>2021-12-31</t>
        </is>
      </c>
      <c r="D49" t="n">
        <v>78.8</v>
      </c>
      <c r="E49" t="n">
        <v>1.35</v>
      </c>
      <c r="F49" t="n">
        <v>58.4</v>
      </c>
      <c r="G49" t="n">
        <v>1.32</v>
      </c>
      <c r="H49" t="n">
        <v>1.35</v>
      </c>
      <c r="I49" t="n">
        <v>-1.92</v>
      </c>
    </row>
    <row r="50">
      <c r="A50" t="inlineStr">
        <is>
          <t>2022</t>
        </is>
      </c>
      <c r="B50" t="inlineStr">
        <is>
          <t>华统</t>
        </is>
      </c>
      <c r="C50" t="inlineStr">
        <is>
          <t>2022-10-13</t>
        </is>
      </c>
      <c r="D50" t="n">
        <v>146.6</v>
      </c>
      <c r="E50" t="n">
        <v>0.88</v>
      </c>
      <c r="F50" t="n">
        <v>167.1</v>
      </c>
      <c r="J50" t="n">
        <v>0.88</v>
      </c>
    </row>
    <row r="51">
      <c r="A51" t="inlineStr">
        <is>
          <t>2024</t>
        </is>
      </c>
      <c r="B51" t="inlineStr">
        <is>
          <t>华统</t>
        </is>
      </c>
      <c r="C51" t="inlineStr">
        <is>
          <t>2024-05-14</t>
        </is>
      </c>
      <c r="D51" t="n">
        <v>149</v>
      </c>
      <c r="E51" t="n">
        <v>0.73</v>
      </c>
      <c r="F51" t="n">
        <v>204</v>
      </c>
      <c r="K51" t="n">
        <v>0.73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Python参考值（路径P1、情景基准），用于核对公式结果</t>
        </is>
      </c>
    </row>
    <row r="3">
      <c r="A3" s="2" t="inlineStr">
        <is>
          <t>code</t>
        </is>
      </c>
      <c r="B3" s="2" t="inlineStr">
        <is>
          <t>公司</t>
        </is>
      </c>
      <c r="C3" s="2" t="inlineStr">
        <is>
          <t>Python归母利润</t>
        </is>
      </c>
      <c r="D3" s="2" t="inlineStr">
        <is>
          <t>Excel归母利润</t>
        </is>
      </c>
      <c r="E3" s="2" t="inlineStr">
        <is>
          <t>差异</t>
        </is>
      </c>
      <c r="F3" s="2" t="inlineStr">
        <is>
          <t>Python成本门槛</t>
        </is>
      </c>
      <c r="G3" s="2" t="inlineStr">
        <is>
          <t>Excel成本门槛</t>
        </is>
      </c>
    </row>
    <row r="4">
      <c r="A4" t="inlineStr">
        <is>
          <t>SZ002714</t>
        </is>
      </c>
      <c r="B4" t="inlineStr">
        <is>
          <t>牧原股份</t>
        </is>
      </c>
      <c r="C4" t="n">
        <v>572.0988</v>
      </c>
      <c r="D4">
        <f>Summary!J4</f>
        <v/>
      </c>
      <c r="E4">
        <f>IF(OR(C4="",D4=""),"",D4-C4)</f>
        <v/>
      </c>
      <c r="F4" t="n">
        <v>14.5225</v>
      </c>
      <c r="G4">
        <f>Summary!M4</f>
        <v/>
      </c>
    </row>
    <row r="5">
      <c r="A5" t="inlineStr">
        <is>
          <t>SZ300498</t>
        </is>
      </c>
      <c r="B5" t="inlineStr">
        <is>
          <t>温氏股份</t>
        </is>
      </c>
      <c r="C5" t="n">
        <v>249.9077</v>
      </c>
      <c r="D5">
        <f>Summary!J5</f>
        <v/>
      </c>
      <c r="E5">
        <f>IF(OR(C5="",D5=""),"",D5-C5)</f>
        <v/>
      </c>
      <c r="F5" t="n">
        <v>14.8182</v>
      </c>
      <c r="G5">
        <f>Summary!M5</f>
        <v/>
      </c>
    </row>
    <row r="6">
      <c r="A6" t="inlineStr">
        <is>
          <t>SZ000876</t>
        </is>
      </c>
      <c r="B6" t="inlineStr">
        <is>
          <t>新希望</t>
        </is>
      </c>
      <c r="C6" t="n">
        <v>87.1285</v>
      </c>
      <c r="D6">
        <f>Summary!J6</f>
        <v/>
      </c>
      <c r="E6">
        <f>IF(OR(C6="",D6=""),"",D6-C6)</f>
        <v/>
      </c>
      <c r="F6" t="n">
        <v>15.0272</v>
      </c>
      <c r="G6">
        <f>Summary!M6</f>
        <v/>
      </c>
    </row>
    <row r="7">
      <c r="A7" t="inlineStr">
        <is>
          <t>SZ002100</t>
        </is>
      </c>
      <c r="B7" t="inlineStr">
        <is>
          <t>天康生物</t>
        </is>
      </c>
      <c r="C7" t="n">
        <v>19.061</v>
      </c>
      <c r="D7">
        <f>Summary!J7</f>
        <v/>
      </c>
      <c r="E7">
        <f>IF(OR(C7="",D7=""),"",D7-C7)</f>
        <v/>
      </c>
      <c r="F7" t="n">
        <v>13.4463</v>
      </c>
      <c r="G7">
        <f>Summary!M7</f>
        <v/>
      </c>
    </row>
    <row r="8">
      <c r="A8" t="inlineStr">
        <is>
          <t>SZ001201</t>
        </is>
      </c>
      <c r="B8" t="inlineStr">
        <is>
          <t>东瑞股份</t>
        </is>
      </c>
      <c r="C8" t="n">
        <v>11.6129</v>
      </c>
      <c r="D8">
        <f>Summary!J8</f>
        <v/>
      </c>
      <c r="E8">
        <f>IF(OR(C8="",D8=""),"",D8-C8)</f>
        <v/>
      </c>
      <c r="F8" t="n">
        <v>16.549</v>
      </c>
      <c r="G8">
        <f>Summary!M8</f>
        <v/>
      </c>
    </row>
    <row r="9">
      <c r="A9" t="inlineStr">
        <is>
          <t>SZ000048</t>
        </is>
      </c>
      <c r="B9" t="inlineStr">
        <is>
          <t>京基智农</t>
        </is>
      </c>
      <c r="C9" t="n">
        <v>14.3453</v>
      </c>
      <c r="D9">
        <f>Summary!J9</f>
        <v/>
      </c>
      <c r="E9">
        <f>IF(OR(C9="",D9=""),"",D9-C9)</f>
        <v/>
      </c>
      <c r="F9" t="n">
        <v>13.6073</v>
      </c>
      <c r="G9">
        <f>Summary!M9</f>
        <v/>
      </c>
    </row>
    <row r="10">
      <c r="A10" t="inlineStr">
        <is>
          <t>SH605296</t>
        </is>
      </c>
      <c r="B10" t="inlineStr">
        <is>
          <t>神农集团</t>
        </is>
      </c>
      <c r="C10" t="n">
        <v>24.1545</v>
      </c>
      <c r="D10">
        <f>Summary!J10</f>
        <v/>
      </c>
      <c r="E10">
        <f>IF(OR(C10="",D10=""),"",D10-C10)</f>
        <v/>
      </c>
      <c r="F10" t="n">
        <v>12.6731</v>
      </c>
      <c r="G10">
        <f>Summary!M10</f>
        <v/>
      </c>
    </row>
    <row r="11">
      <c r="A11" t="inlineStr">
        <is>
          <t>SH603477</t>
        </is>
      </c>
      <c r="B11" t="inlineStr">
        <is>
          <t>巨星农牧</t>
        </is>
      </c>
      <c r="C11" t="n">
        <v>26.7126</v>
      </c>
      <c r="D11">
        <f>Summary!J11</f>
        <v/>
      </c>
      <c r="E11">
        <f>IF(OR(C11="",D11=""),"",D11-C11)</f>
        <v/>
      </c>
      <c r="F11" t="n">
        <v>15.6732</v>
      </c>
      <c r="G11">
        <f>Summary!M11</f>
        <v/>
      </c>
    </row>
    <row r="12">
      <c r="A12" t="inlineStr">
        <is>
          <t>SZ002567</t>
        </is>
      </c>
      <c r="B12" t="inlineStr">
        <is>
          <t>唐人神</t>
        </is>
      </c>
      <c r="C12" t="n">
        <v>24.5796</v>
      </c>
      <c r="D12">
        <f>Summary!J12</f>
        <v/>
      </c>
      <c r="E12">
        <f>IF(OR(C12="",D12=""),"",D12-C12)</f>
        <v/>
      </c>
      <c r="F12" t="n">
        <v>16.853</v>
      </c>
      <c r="G12">
        <f>Summary!M12</f>
        <v/>
      </c>
    </row>
    <row r="13">
      <c r="A13" t="inlineStr">
        <is>
          <t>SZ002385</t>
        </is>
      </c>
      <c r="B13" t="inlineStr">
        <is>
          <t>大北农</t>
        </is>
      </c>
      <c r="C13" t="n">
        <v>24.7956</v>
      </c>
      <c r="D13">
        <f>Summary!J13</f>
        <v/>
      </c>
      <c r="E13">
        <f>IF(OR(C13="",D13=""),"",D13-C13)</f>
        <v/>
      </c>
      <c r="F13" t="n">
        <v>13.795</v>
      </c>
      <c r="G13">
        <f>Summary!M13</f>
        <v/>
      </c>
    </row>
    <row r="14">
      <c r="A14" t="inlineStr">
        <is>
          <t>SH603363</t>
        </is>
      </c>
      <c r="B14" t="inlineStr">
        <is>
          <t>傲农生物</t>
        </is>
      </c>
      <c r="C14" t="n">
        <v>11.2458</v>
      </c>
      <c r="D14">
        <f>Summary!J14</f>
        <v/>
      </c>
      <c r="E14">
        <f>IF(OR(C14="",D14=""),"",D14-C14)</f>
        <v/>
      </c>
      <c r="F14" t="n">
        <v>13.5609</v>
      </c>
      <c r="G14">
        <f>Summary!M14</f>
        <v/>
      </c>
    </row>
    <row r="15">
      <c r="A15" t="inlineStr">
        <is>
          <t>SZ002124</t>
        </is>
      </c>
      <c r="B15" t="inlineStr">
        <is>
          <t>天邦食品</t>
        </is>
      </c>
      <c r="C15" t="n">
        <v>29.9753</v>
      </c>
      <c r="D15">
        <f>Summary!J15</f>
        <v/>
      </c>
      <c r="E15">
        <f>IF(OR(C15="",D15=""),"",D15-C15)</f>
        <v/>
      </c>
      <c r="F15" t="n">
        <v>17.0439</v>
      </c>
      <c r="G15">
        <f>Summary!M15</f>
        <v/>
      </c>
    </row>
    <row r="16">
      <c r="A16" t="inlineStr">
        <is>
          <t>SZ002548</t>
        </is>
      </c>
      <c r="B16" t="inlineStr">
        <is>
          <t>金新农</t>
        </is>
      </c>
      <c r="C16" t="n">
        <v>6.0744</v>
      </c>
      <c r="D16">
        <f>Summary!J16</f>
        <v/>
      </c>
      <c r="E16">
        <f>IF(OR(C16="",D16=""),"",D16-C16)</f>
        <v/>
      </c>
      <c r="F16" t="n">
        <v>14.9231</v>
      </c>
      <c r="G16">
        <f>Summary!M16</f>
        <v/>
      </c>
    </row>
    <row r="17">
      <c r="A17" t="inlineStr">
        <is>
          <t>SZ002840</t>
        </is>
      </c>
      <c r="B17" t="inlineStr">
        <is>
          <t>华统股份</t>
        </is>
      </c>
      <c r="D17">
        <f>Summary!J17</f>
        <v/>
      </c>
      <c r="E17">
        <f>IF(OR(C17="",D17=""),"",D17-C17)</f>
        <v/>
      </c>
      <c r="F17" t="n">
        <v>13.8993</v>
      </c>
      <c r="G17">
        <f>Summary!M17</f>
        <v/>
      </c>
    </row>
    <row r="18">
      <c r="A18" t="inlineStr">
        <is>
          <t>SH600975</t>
        </is>
      </c>
      <c r="B18" t="inlineStr">
        <is>
          <t>新五丰</t>
        </is>
      </c>
      <c r="D18">
        <f>Summary!J18</f>
        <v/>
      </c>
      <c r="E18">
        <f>IF(OR(C18="",D18=""),"",D18-C18)</f>
        <v/>
      </c>
      <c r="F18" t="n">
        <v>15.9503</v>
      </c>
      <c r="G18">
        <f>Summary!M18</f>
        <v/>
      </c>
    </row>
    <row r="19">
      <c r="A19" t="inlineStr">
        <is>
          <t>SZ002157</t>
        </is>
      </c>
      <c r="B19" t="inlineStr">
        <is>
          <t>正邦科技</t>
        </is>
      </c>
      <c r="D19">
        <f>Summary!J19</f>
        <v/>
      </c>
      <c r="E19">
        <f>IF(OR(C19="",D19=""),"",D19-C19)</f>
        <v/>
      </c>
      <c r="F19" t="n">
        <v>13.3961</v>
      </c>
      <c r="G19">
        <f>Summary!M19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2026-10-09T03:39:15Z</dcterms:created>
  <dcterms:modified xmlns:dcterms="http://purl.org/dc/terms/" xmlns:xsi="http://www.w3.org/2001/XMLSchema-instance" xsi:type="dcterms:W3CDTF">2026-10-09T03:39:15Z</dcterms:modified>
</cp:coreProperties>
</file>